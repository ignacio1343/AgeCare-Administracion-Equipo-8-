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30" yWindow="-110" windowWidth="18080" windowHeight="11020" tabRatio="600" firstSheet="0" activeTab="0" autoFilterDateGrouping="1"/>
  </bookViews>
  <sheets>
    <sheet xmlns:r="http://schemas.openxmlformats.org/officeDocument/2006/relationships" name="Historias de Usuario" sheetId="1" state="visible" r:id="rId1"/>
    <sheet xmlns:r="http://schemas.openxmlformats.org/officeDocument/2006/relationships" name="Instructivo" sheetId="2" state="visible" r:id="rId2"/>
    <sheet xmlns:r="http://schemas.openxmlformats.org/officeDocument/2006/relationships" name="Ejemplo" sheetId="3" state="visible" r:id="rId3"/>
    <sheet xmlns:r="http://schemas.openxmlformats.org/officeDocument/2006/relationships" name="Product Backlog" sheetId="4" state="visible" r:id="rId4"/>
    <sheet xmlns:r="http://schemas.openxmlformats.org/officeDocument/2006/relationships" name="Sprints" sheetId="5" state="visible" r:id="rId5"/>
  </sheets>
  <definedNames>
    <definedName name="_xlnm.Print_Titles" localSheetId="0">'Historias de Usuario'!$4:$5</definedName>
    <definedName name="_xlnm.Print_Area" localSheetId="0">'Historias de Usuario'!$A$1:$K$182</definedName>
    <definedName name="_xlnm.Print_Area" localSheetId="1">'Instructivo'!$A$1:$D$14</definedName>
    <definedName name="_xlnm._FilterDatabase" localSheetId="3" hidden="1">'Product Backlog'!$B$4:$I$53</definedName>
    <definedName name="_xlnm.Print_Titles" localSheetId="3">'Product Backlog'!$4:$4</definedName>
    <definedName name="_xlnm.Print_Titles" localSheetId="4">'Sprints'!$4:$4</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0"/>
      <sz val="11"/>
      <scheme val="minor"/>
    </font>
    <font>
      <name val="Calibri"/>
      <family val="2"/>
      <b val="1"/>
      <color theme="1"/>
      <sz val="28"/>
      <scheme val="minor"/>
    </font>
    <font>
      <name val="Calibri"/>
      <family val="2"/>
      <b val="1"/>
      <color theme="3"/>
      <sz val="16"/>
      <scheme val="minor"/>
    </font>
    <font>
      <name val="Calibri"/>
      <family val="2"/>
      <b val="1"/>
      <color theme="1"/>
      <sz val="24"/>
      <scheme val="minor"/>
    </font>
    <font>
      <name val="Calibri"/>
      <b val="1"/>
      <sz val="12"/>
    </font>
    <font>
      <name val="Calibri"/>
      <b val="1"/>
      <color rgb="00FFFFFF"/>
      <sz val="11"/>
    </font>
    <font>
      <b val="1"/>
    </font>
    <font>
      <name val="Calibri"/>
      <b val="1"/>
      <sz val="20"/>
    </font>
    <font>
      <name val="Calibri"/>
      <i val="1"/>
      <sz val="11"/>
    </font>
  </fonts>
  <fills count="5">
    <fill>
      <patternFill/>
    </fill>
    <fill>
      <patternFill patternType="gray125"/>
    </fill>
    <fill>
      <patternFill patternType="solid">
        <fgColor theme="3"/>
        <bgColor indexed="64"/>
      </patternFill>
    </fill>
    <fill>
      <patternFill patternType="solid">
        <fgColor theme="0"/>
        <bgColor indexed="64"/>
      </patternFill>
    </fill>
    <fill>
      <patternFill patternType="solid">
        <fgColor theme="0" tint="-0.1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8">
    <xf numFmtId="0" fontId="0" fillId="0" borderId="0" pivotButton="0" quotePrefix="0" xfId="0"/>
    <xf numFmtId="0" fontId="1" fillId="2" borderId="1" pivotButton="0" quotePrefix="0" xfId="0"/>
    <xf numFmtId="0" fontId="0" fillId="3" borderId="0" pivotButton="0" quotePrefix="0" xfId="0"/>
    <xf numFmtId="0" fontId="2" fillId="3" borderId="0" pivotButton="0" quotePrefix="0" xfId="0"/>
    <xf numFmtId="0" fontId="3" fillId="3" borderId="0" pivotButton="0" quotePrefix="0" xfId="0"/>
    <xf numFmtId="0" fontId="0" fillId="3" borderId="1" applyAlignment="1" pivotButton="0" quotePrefix="0" xfId="0">
      <alignment horizontal="left" vertical="top" wrapText="1"/>
    </xf>
    <xf numFmtId="0" fontId="1" fillId="2" borderId="1" applyAlignment="1" pivotButton="0" quotePrefix="0" xfId="0">
      <alignment horizontal="center" vertical="center" wrapText="1"/>
    </xf>
    <xf numFmtId="0" fontId="0" fillId="3" borderId="1" applyAlignment="1" pivotButton="0" quotePrefix="0" xfId="0">
      <alignment horizontal="center" vertical="top" wrapText="1"/>
    </xf>
    <xf numFmtId="0" fontId="0" fillId="4" borderId="2" applyAlignment="1" pivotButton="0" quotePrefix="0" xfId="0">
      <alignment horizontal="left" vertical="top" wrapText="1"/>
    </xf>
    <xf numFmtId="0" fontId="0" fillId="4" borderId="1" applyAlignment="1" pivotButton="0" quotePrefix="0" xfId="0">
      <alignment horizontal="center" vertical="top" wrapText="1"/>
    </xf>
    <xf numFmtId="0" fontId="0" fillId="4" borderId="1" applyAlignment="1" pivotButton="0" quotePrefix="0" xfId="0">
      <alignment horizontal="left" vertical="top" wrapText="1"/>
    </xf>
    <xf numFmtId="0" fontId="0" fillId="3" borderId="0" pivotButton="0" quotePrefix="1" xfId="0"/>
    <xf numFmtId="0" fontId="4" fillId="3" borderId="0" pivotButton="0" quotePrefix="0" xfId="0"/>
    <xf numFmtId="0" fontId="1" fillId="2" borderId="1" applyAlignment="1" pivotButton="0" quotePrefix="0" xfId="0">
      <alignment horizontal="center" vertical="center" wrapText="1"/>
    </xf>
    <xf numFmtId="0" fontId="0" fillId="3" borderId="3" applyAlignment="1" pivotButton="0" quotePrefix="0" xfId="0">
      <alignment horizontal="left" vertical="top" wrapText="1"/>
    </xf>
    <xf numFmtId="0" fontId="0" fillId="3" borderId="2" applyAlignment="1" pivotButton="0" quotePrefix="0" xfId="0">
      <alignment horizontal="left" vertical="top" wrapText="1"/>
    </xf>
    <xf numFmtId="0" fontId="0" fillId="3" borderId="4" applyAlignment="1" pivotButton="0" quotePrefix="0" xfId="0">
      <alignment horizontal="left" vertical="top" wrapText="1"/>
    </xf>
    <xf numFmtId="0" fontId="5" fillId="3" borderId="0" pivotButton="0" quotePrefix="0" xfId="0"/>
    <xf numFmtId="0" fontId="0" fillId="0" borderId="8" pivotButton="0" quotePrefix="0" xfId="0"/>
    <xf numFmtId="0" fontId="0" fillId="0" borderId="9" pivotButton="0" quotePrefix="0" xfId="0"/>
    <xf numFmtId="0" fontId="6" fillId="2" borderId="1" applyAlignment="1" pivotButton="0" quotePrefix="0" xfId="0">
      <alignment horizontal="left" vertical="center"/>
    </xf>
    <xf numFmtId="0" fontId="0" fillId="3" borderId="1" applyAlignment="1" pivotButton="0" quotePrefix="0" xfId="0">
      <alignment horizontal="center" vertical="top"/>
    </xf>
    <xf numFmtId="0" fontId="0" fillId="0" borderId="2" pivotButton="0" quotePrefix="0" xfId="0"/>
    <xf numFmtId="0" fontId="0" fillId="0" borderId="4" pivotButton="0" quotePrefix="0" xfId="0"/>
    <xf numFmtId="0" fontId="7" fillId="0" borderId="0" pivotButton="0" quotePrefix="0" xfId="0"/>
    <xf numFmtId="0" fontId="8" fillId="0" borderId="0" pivotButton="0" quotePrefix="0" xfId="0"/>
    <xf numFmtId="0" fontId="9" fillId="0" borderId="0" pivotButton="0" quotePrefix="0" xfId="0"/>
    <xf numFmtId="0" fontId="7" fillId="0" borderId="0" applyAlignment="1" pivotButton="0" quotePrefix="0" xfId="0">
      <alignment horizont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31750</xdr:rowOff>
    </xdr:from>
    <xdr:to>
      <xdr:col>13</xdr:col>
      <xdr:colOff>399038</xdr:colOff>
      <xdr:row>13</xdr:row>
      <xdr:rowOff>31750</xdr:rowOff>
    </xdr:to>
    <xdr:pic>
      <xdr:nvPicPr>
        <xdr:cNvPr id="2" name="Imagen 1">
          <a:extLst>
            <a:ext uri="{FF2B5EF4-FFF2-40B4-BE49-F238E27FC236}">
              <a16:creationId xmlns:a16="http://schemas.microsoft.com/office/drawing/2014/main" id="{CD5E108E-F4BE-46A5-9D82-219B5F95D1E2}"/>
            </a:ext>
          </a:extLst>
        </xdr:cNvPr>
        <xdr:cNvPicPr>
          <a:picLocks noChangeAspect="1"/>
        </xdr:cNvPicPr>
      </xdr:nvPicPr>
      <xdr:blipFill>
        <a:blip xmlns:r="http://schemas.openxmlformats.org/officeDocument/2006/relationships" r:embed="rId1"/>
        <a:stretch>
          <a:fillRect/>
        </a:stretch>
      </xdr:blipFill>
      <xdr:spPr>
        <a:xfrm>
          <a:off x="0" y="31750"/>
          <a:ext cx="10305038" cy="2393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Relationships xmlns="http://schemas.openxmlformats.org/package/2006/relationships"><Relationship Id="rIdImg1" Type="http://schemas.openxmlformats.org/officeDocument/2006/relationships/drawing" Target="../drawings/drawing1.xml"/></Relationships>
</file>

<file path=xl/worksheets/sheet1.xml><?xml version="1.0" encoding="utf-8"?>
<worksheet xmlns="http://schemas.openxmlformats.org/spreadsheetml/2006/main">
  <sheetPr>
    <outlinePr summaryBelow="1" summaryRight="1"/>
    <pageSetUpPr fitToPage="1"/>
  </sheetPr>
  <dimension ref="A1:K182"/>
  <sheetViews>
    <sheetView topLeftCell="A2" zoomScaleNormal="100" workbookViewId="0">
      <pane xSplit="2" ySplit="5" topLeftCell="C6" activePane="bottomRight" state="frozen"/>
      <selection pane="topRight"/>
      <selection pane="bottomLeft"/>
      <selection pane="bottomRight" activeCell="B2" sqref="B2"/>
    </sheetView>
  </sheetViews>
  <sheetFormatPr baseColWidth="10" defaultColWidth="11.453125" defaultRowHeight="14.5"/>
  <cols>
    <col width="1.453125" customWidth="1" style="2" min="1" max="1"/>
    <col width="16" customWidth="1" style="2" min="2" max="2"/>
    <col width="14" customWidth="1" style="2" min="3" max="3"/>
    <col width="20" customWidth="1" style="2" min="4" max="4"/>
    <col width="20" customWidth="1" style="2" min="5" max="5"/>
    <col width="10" customWidth="1" style="2" min="6" max="6"/>
    <col width="20" customWidth="1" style="2" min="7" max="7"/>
    <col width="32" bestFit="1" customWidth="1" style="2" min="8" max="8"/>
    <col width="22" customWidth="1" style="2" min="9" max="9"/>
    <col width="38" bestFit="1" customWidth="1" style="2" min="10" max="10"/>
    <col width="3.08984375" customWidth="1" style="2" min="11" max="11"/>
    <col width="11.453125" customWidth="1" style="2" min="12" max="16384"/>
  </cols>
  <sheetData>
    <row r="1" ht="36" customHeight="1">
      <c r="B1" s="3" t="inlineStr">
        <is>
          <t>Desarrollo ágil: Historias de usuario y criterios de aceptación</t>
        </is>
      </c>
    </row>
    <row r="2" ht="21" customHeight="1">
      <c r="B2" s="17" t="inlineStr">
        <is>
          <t>Proyecto: AgeCare Administración (ACA) · Product Backlog al 10/10/2026</t>
        </is>
      </c>
    </row>
    <row r="3"/>
    <row r="4">
      <c r="C4" s="13" t="inlineStr">
        <is>
          <t>Enunciado de la historia</t>
        </is>
      </c>
      <c r="D4" s="18" t="n"/>
      <c r="E4" s="18" t="n"/>
      <c r="F4" s="19" t="n"/>
      <c r="G4" s="13" t="inlineStr">
        <is>
          <t>Criterios de aceptación</t>
        </is>
      </c>
      <c r="H4" s="18" t="n"/>
      <c r="I4" s="18" t="n"/>
      <c r="J4" s="19" t="n"/>
    </row>
    <row r="5" ht="44.25" customHeight="1">
      <c r="B5" s="13" t="inlineStr">
        <is>
          <t>Identificador (ID) de la historia</t>
        </is>
      </c>
      <c r="C5" s="13" t="inlineStr">
        <is>
          <t>Rol</t>
        </is>
      </c>
      <c r="D5" s="13" t="inlineStr">
        <is>
          <t>Característica / Funcionalidad</t>
        </is>
      </c>
      <c r="E5" s="13" t="inlineStr">
        <is>
          <t>Razón / Resultado</t>
        </is>
      </c>
      <c r="F5" s="13" t="inlineStr">
        <is>
          <t>Número (#) de escenario</t>
        </is>
      </c>
      <c r="G5" s="13" t="inlineStr">
        <is>
          <t>Criterio de aceptación (Título)</t>
        </is>
      </c>
      <c r="H5" s="13" t="inlineStr">
        <is>
          <t>Contexto</t>
        </is>
      </c>
      <c r="I5" s="13" t="inlineStr">
        <is>
          <t>Evento</t>
        </is>
      </c>
      <c r="J5" s="13" t="inlineStr">
        <is>
          <t>Resultado / Comportamiento esperado</t>
        </is>
      </c>
    </row>
    <row r="6" ht="20" customHeight="1">
      <c r="B6" s="20" t="inlineStr">
        <is>
          <t>EP01 · Acceso y seguridad</t>
        </is>
      </c>
      <c r="C6" s="13" t="n"/>
      <c r="D6" s="13" t="n"/>
      <c r="E6" s="13" t="n"/>
      <c r="F6" s="13" t="n"/>
      <c r="G6" s="13" t="n"/>
      <c r="H6" s="13" t="n"/>
      <c r="I6" s="13" t="n"/>
      <c r="J6" s="13" t="n"/>
    </row>
    <row r="7" ht="48" customHeight="1">
      <c r="B7" s="5" t="inlineStr">
        <is>
          <t>ACA-EP01-HU01</t>
        </is>
      </c>
      <c r="C7" s="5" t="inlineStr">
        <is>
          <t>Como miembro del staff</t>
        </is>
      </c>
      <c r="D7" s="5" t="inlineStr">
        <is>
          <t>Necesito iniciar sesión con mi correo corporativo y contraseña</t>
        </is>
      </c>
      <c r="E7" s="5" t="inlineStr">
        <is>
          <t>Con la finalidad de acceder solo a los módulos que mi rol permite</t>
        </is>
      </c>
      <c r="F7" s="21" t="n">
        <v>1</v>
      </c>
      <c r="G7" s="5" t="inlineStr">
        <is>
          <t>Credenciales válidas</t>
        </is>
      </c>
      <c r="H7" s="5" t="inlineStr">
        <is>
          <t>En caso que mi cuenta esté activa y no tenga segundo factor activado</t>
        </is>
      </c>
      <c r="I7" s="5" t="inlineStr">
        <is>
          <t>cuando ingreso correo y contraseña correctos</t>
        </is>
      </c>
      <c r="J7" s="5" t="inlineStr">
        <is>
          <t>el sistema me da acceso y muestra el menú con los módulos de mi rol</t>
        </is>
      </c>
    </row>
    <row r="8" ht="48" customHeight="1">
      <c r="B8" s="22" t="n"/>
      <c r="C8" s="22" t="n"/>
      <c r="D8" s="22" t="n"/>
      <c r="E8" s="22" t="n"/>
      <c r="F8" s="21" t="n">
        <v>2</v>
      </c>
      <c r="G8" s="5" t="inlineStr">
        <is>
          <t>Credenciales inválidas</t>
        </is>
      </c>
      <c r="H8" s="5" t="inlineStr">
        <is>
          <t>En caso que el correo o la contraseña sean incorrectos</t>
        </is>
      </c>
      <c r="I8" s="5" t="inlineStr">
        <is>
          <t>cuando intento ingresar</t>
        </is>
      </c>
      <c r="J8" s="5" t="inlineStr">
        <is>
          <t>el sistema muestra «Correo o contraseña incorrectos» sin indicar cuál de los dos falló</t>
        </is>
      </c>
    </row>
    <row r="9" ht="48" customHeight="1">
      <c r="B9" s="22" t="n"/>
      <c r="C9" s="22" t="n"/>
      <c r="D9" s="22" t="n"/>
      <c r="E9" s="22" t="n"/>
      <c r="F9" s="21" t="n">
        <v>3</v>
      </c>
      <c r="G9" s="5" t="inlineStr">
        <is>
          <t>Bloqueo por intentos</t>
        </is>
      </c>
      <c r="H9" s="5" t="inlineStr">
        <is>
          <t>En caso que haya fallado 5 veces en 10 minutos</t>
        </is>
      </c>
      <c r="I9" s="5" t="inlineStr">
        <is>
          <t>cuando intento ingresar de nuevo</t>
        </is>
      </c>
      <c r="J9" s="5" t="inlineStr">
        <is>
          <t>el sistema bloquea la cuenta por 15 minutos y lo registra en la auditoría</t>
        </is>
      </c>
    </row>
    <row r="10" ht="48" customHeight="1">
      <c r="B10" s="23" t="n"/>
      <c r="C10" s="23" t="n"/>
      <c r="D10" s="23" t="n"/>
      <c r="E10" s="23" t="n"/>
      <c r="F10" s="21" t="n">
        <v>4</v>
      </c>
      <c r="G10" s="5" t="inlineStr">
        <is>
          <t>Sesión expirada</t>
        </is>
      </c>
      <c r="H10" s="5" t="inlineStr">
        <is>
          <t>En caso que mi token de acceso de 15 minutos haya expirado</t>
        </is>
      </c>
      <c r="I10" s="5" t="inlineStr">
        <is>
          <t>cuando sigo usando la consola</t>
        </is>
      </c>
      <c r="J10" s="5" t="inlineStr">
        <is>
          <t>el sistema renueva la sesión con el refresh token sin pedirme ingresar de nuevo</t>
        </is>
      </c>
    </row>
    <row r="11"/>
    <row r="12" ht="48" customHeight="1">
      <c r="B12" s="5" t="inlineStr">
        <is>
          <t>ACA-EP01-HU02</t>
        </is>
      </c>
      <c r="C12" s="5" t="inlineStr">
        <is>
          <t>Como administrador</t>
        </is>
      </c>
      <c r="D12" s="5" t="inlineStr">
        <is>
          <t>Necesito activar y usar un segundo factor (código TOTP) en mi cuenta</t>
        </is>
      </c>
      <c r="E12" s="5" t="inlineStr">
        <is>
          <t>Con la finalidad de proteger el acceso a funciones críticas aunque se filtre mi contraseña</t>
        </is>
      </c>
      <c r="F12" s="21" t="n">
        <v>1</v>
      </c>
      <c r="G12" s="5" t="inlineStr">
        <is>
          <t>Configurar segundo factor</t>
        </is>
      </c>
      <c r="H12" s="5" t="inlineStr">
        <is>
          <t>En caso que mi rol exija segundo factor y aún no lo haya configurado</t>
        </is>
      </c>
      <c r="I12" s="5" t="inlineStr">
        <is>
          <t>cuando entro a «Mi cuenta» y escaneo el QR</t>
        </is>
      </c>
      <c r="J12" s="5" t="inlineStr">
        <is>
          <t>el sistema activa el segundo factor tras validar un código correcto</t>
        </is>
      </c>
    </row>
    <row r="13" ht="33" customHeight="1">
      <c r="B13" s="22" t="n"/>
      <c r="C13" s="22" t="n"/>
      <c r="D13" s="22" t="n"/>
      <c r="E13" s="22" t="n"/>
      <c r="F13" s="21" t="n">
        <v>2</v>
      </c>
      <c r="G13" s="5" t="inlineStr">
        <is>
          <t>Login con código</t>
        </is>
      </c>
      <c r="H13" s="5" t="inlineStr">
        <is>
          <t>En caso que tenga el segundo factor activo</t>
        </is>
      </c>
      <c r="I13" s="5" t="inlineStr">
        <is>
          <t>cuando ingreso mi contraseña</t>
        </is>
      </c>
      <c r="J13" s="5" t="inlineStr">
        <is>
          <t>el sistema me pide el código de 6 dígitos antes de dar acceso</t>
        </is>
      </c>
    </row>
    <row r="14" ht="33" customHeight="1">
      <c r="B14" s="23" t="n"/>
      <c r="C14" s="23" t="n"/>
      <c r="D14" s="23" t="n"/>
      <c r="E14" s="23" t="n"/>
      <c r="F14" s="21" t="n">
        <v>3</v>
      </c>
      <c r="G14" s="5" t="inlineStr">
        <is>
          <t>Código incorrecto</t>
        </is>
      </c>
      <c r="H14" s="5" t="inlineStr">
        <is>
          <t>En caso que ingrese un código inválido o vencido</t>
        </is>
      </c>
      <c r="I14" s="5" t="inlineStr">
        <is>
          <t>cuando confirmo el ingreso</t>
        </is>
      </c>
      <c r="J14" s="5" t="inlineStr">
        <is>
          <t>el sistema rechaza el acceso y cuenta el intento como fallido</t>
        </is>
      </c>
    </row>
    <row r="15"/>
    <row r="16" ht="48" customHeight="1">
      <c r="B16" s="5" t="inlineStr">
        <is>
          <t>ACA-EP01-HU03</t>
        </is>
      </c>
      <c r="C16" s="5" t="inlineStr">
        <is>
          <t>Como administrador</t>
        </is>
      </c>
      <c r="D16" s="5" t="inlineStr">
        <is>
          <t>Necesito crear cuentas del staff, asignar roles y desactivarlas</t>
        </is>
      </c>
      <c r="E16" s="5" t="inlineStr">
        <is>
          <t>Con la finalidad de controlar quién accede a la consola y con qué permisos</t>
        </is>
      </c>
      <c r="F16" s="21" t="n">
        <v>1</v>
      </c>
      <c r="G16" s="5" t="inlineStr">
        <is>
          <t>Invitar a una persona</t>
        </is>
      </c>
      <c r="H16" s="5" t="inlineStr">
        <is>
          <t>En caso que el correo pertenezca a un dominio autorizado</t>
        </is>
      </c>
      <c r="I16" s="5" t="inlineStr">
        <is>
          <t>cuando creo la cuenta con nombre, correo y rol</t>
        </is>
      </c>
      <c r="J16" s="5" t="inlineStr">
        <is>
          <t>el sistema la deja «pendiente» y genera un enlace de activación válido por 24 horas</t>
        </is>
      </c>
    </row>
    <row r="17" ht="48" customHeight="1">
      <c r="B17" s="22" t="n"/>
      <c r="C17" s="22" t="n"/>
      <c r="D17" s="22" t="n"/>
      <c r="E17" s="22" t="n"/>
      <c r="F17" s="21" t="n">
        <v>2</v>
      </c>
      <c r="G17" s="5" t="inlineStr">
        <is>
          <t>Activar la cuenta</t>
        </is>
      </c>
      <c r="H17" s="5" t="inlineStr">
        <is>
          <t>En caso que la persona abra un enlace vigente</t>
        </is>
      </c>
      <c r="I17" s="5" t="inlineStr">
        <is>
          <t>cuando define una contraseña que cumple la política</t>
        </is>
      </c>
      <c r="J17" s="5" t="inlineStr">
        <is>
          <t>el sistema activa la cuenta y permite iniciar sesión</t>
        </is>
      </c>
    </row>
    <row r="18" ht="48" customHeight="1">
      <c r="B18" s="22" t="n"/>
      <c r="C18" s="22" t="n"/>
      <c r="D18" s="22" t="n"/>
      <c r="E18" s="22" t="n"/>
      <c r="F18" s="21" t="n">
        <v>3</v>
      </c>
      <c r="G18" s="5" t="inlineStr">
        <is>
          <t>Cambiar rol o desactivar</t>
        </is>
      </c>
      <c r="H18" s="5" t="inlineStr">
        <is>
          <t>En caso que la cuenta esté activa</t>
        </is>
      </c>
      <c r="I18" s="5" t="inlineStr">
        <is>
          <t>cuando cambio su rol o la desactivo</t>
        </is>
      </c>
      <c r="J18" s="5" t="inlineStr">
        <is>
          <t>el sistema aplica el cambio, cierra sus sesiones si se desactiva y lo registra en la auditoría</t>
        </is>
      </c>
    </row>
    <row r="19" ht="48" customHeight="1">
      <c r="B19" s="23" t="n"/>
      <c r="C19" s="23" t="n"/>
      <c r="D19" s="23" t="n"/>
      <c r="E19" s="23" t="n"/>
      <c r="F19" s="21" t="n">
        <v>4</v>
      </c>
      <c r="G19" s="5" t="inlineStr">
        <is>
          <t>Último administrador</t>
        </is>
      </c>
      <c r="H19" s="5" t="inlineStr">
        <is>
          <t>En caso que la cuenta sea el único administrador activo</t>
        </is>
      </c>
      <c r="I19" s="5" t="inlineStr">
        <is>
          <t>cuando intento desactivarla o quitarle el rol</t>
        </is>
      </c>
      <c r="J19" s="5" t="inlineStr">
        <is>
          <t>el sistema impide el cambio y muestra el motivo</t>
        </is>
      </c>
    </row>
    <row r="20"/>
    <row r="21" ht="48" customHeight="1">
      <c r="B21" s="5" t="inlineStr">
        <is>
          <t>ACA-EP01-HU04</t>
        </is>
      </c>
      <c r="C21" s="5" t="inlineStr">
        <is>
          <t>Como administrador</t>
        </is>
      </c>
      <c r="D21" s="5" t="inlineStr">
        <is>
          <t>Necesito consultar la bitácora de auditoría con filtros</t>
        </is>
      </c>
      <c r="E21" s="5" t="inlineStr">
        <is>
          <t>Con la finalidad de saber quién hizo qué cambio y cuándo, como respaldo ante incidentes</t>
        </is>
      </c>
      <c r="F21" s="21" t="n">
        <v>1</v>
      </c>
      <c r="G21" s="5" t="inlineStr">
        <is>
          <t>Registro de acciones</t>
        </is>
      </c>
      <c r="H21" s="5" t="inlineStr">
        <is>
          <t>En caso que un miembro del staff modifique un dato o inicie sesión</t>
        </is>
      </c>
      <c r="I21" s="5" t="inlineStr">
        <is>
          <t>cuando la acción se completa</t>
        </is>
      </c>
      <c r="J21" s="5" t="inlineStr">
        <is>
          <t>el sistema guarda actor, fecha, IP, entidad, valor anterior y valor nuevo</t>
        </is>
      </c>
    </row>
    <row r="22" ht="48" customHeight="1">
      <c r="B22" s="22" t="n"/>
      <c r="C22" s="22" t="n"/>
      <c r="D22" s="22" t="n"/>
      <c r="E22" s="22" t="n"/>
      <c r="F22" s="21" t="n">
        <v>2</v>
      </c>
      <c r="G22" s="5" t="inlineStr">
        <is>
          <t>Filtrar la bitácora</t>
        </is>
      </c>
      <c r="H22" s="5" t="inlineStr">
        <is>
          <t>En caso que existan muchos registros</t>
        </is>
      </c>
      <c r="I22" s="5" t="inlineStr">
        <is>
          <t>cuando filtro por acción, entidad o actor</t>
        </is>
      </c>
      <c r="J22" s="5" t="inlineStr">
        <is>
          <t>el sistema muestra solo los registros que coinciden, paginados</t>
        </is>
      </c>
    </row>
    <row r="23" ht="33" customHeight="1">
      <c r="B23" s="23" t="n"/>
      <c r="C23" s="23" t="n"/>
      <c r="D23" s="23" t="n"/>
      <c r="E23" s="23" t="n"/>
      <c r="F23" s="21" t="n">
        <v>3</v>
      </c>
      <c r="G23" s="5" t="inlineStr">
        <is>
          <t>Inmutabilidad</t>
        </is>
      </c>
      <c r="H23" s="5" t="inlineStr">
        <is>
          <t>En caso que se intente editar o borrar un registro</t>
        </is>
      </c>
      <c r="I23" s="5" t="inlineStr">
        <is>
          <t>cuando se llama a la API</t>
        </is>
      </c>
      <c r="J23" s="5" t="inlineStr">
        <is>
          <t>el sistema no ofrece ninguna operación para modificar la bitácora</t>
        </is>
      </c>
    </row>
    <row r="24"/>
    <row r="25" ht="20" customHeight="1">
      <c r="B25" s="20" t="inlineStr">
        <is>
          <t>EP02 · Soporte operativo</t>
        </is>
      </c>
      <c r="C25" s="13" t="n"/>
      <c r="D25" s="13" t="n"/>
      <c r="E25" s="13" t="n"/>
      <c r="F25" s="13" t="n"/>
      <c r="G25" s="13" t="n"/>
      <c r="H25" s="13" t="n"/>
      <c r="I25" s="13" t="n"/>
      <c r="J25" s="13" t="n"/>
    </row>
    <row r="26" ht="48" customHeight="1">
      <c r="B26" s="5" t="inlineStr">
        <is>
          <t>ACA-EP02-HU01</t>
        </is>
      </c>
      <c r="C26" s="5" t="inlineStr">
        <is>
          <t>Como agente de soporte</t>
        </is>
      </c>
      <c r="D26" s="5" t="inlineStr">
        <is>
          <t>Necesito ver la cola de tickets con filtros, búsqueda y orden</t>
        </is>
      </c>
      <c r="E26" s="5" t="inlineStr">
        <is>
          <t>Con la finalidad de priorizar lo urgente y no dejar tickets sin atender</t>
        </is>
      </c>
      <c r="F26" s="21" t="n">
        <v>1</v>
      </c>
      <c r="G26" s="5" t="inlineStr">
        <is>
          <t>Vista de activos</t>
        </is>
      </c>
      <c r="H26" s="5" t="inlineStr">
        <is>
          <t>En caso que existan tickets abiertos, en curso o esperando al usuario</t>
        </is>
      </c>
      <c r="I26" s="5" t="inlineStr">
        <is>
          <t>cuando abro el módulo de soporte</t>
        </is>
      </c>
      <c r="J26" s="5" t="inlineStr">
        <is>
          <t>el sistema muestra solo los tickets activos, ordenados por fecha</t>
        </is>
      </c>
    </row>
    <row r="27" ht="33" customHeight="1">
      <c r="B27" s="22" t="n"/>
      <c r="C27" s="22" t="n"/>
      <c r="D27" s="22" t="n"/>
      <c r="E27" s="22" t="n"/>
      <c r="F27" s="21" t="n">
        <v>2</v>
      </c>
      <c r="G27" s="5" t="inlineStr">
        <is>
          <t>Búsqueda</t>
        </is>
      </c>
      <c r="H27" s="5" t="inlineStr">
        <is>
          <t>En caso que busque por número, asunto, nombre o correo</t>
        </is>
      </c>
      <c r="I27" s="5" t="inlineStr">
        <is>
          <t>cuando presiono Enter</t>
        </is>
      </c>
      <c r="J27" s="5" t="inlineStr">
        <is>
          <t>el sistema filtra la cola con las coincidencias</t>
        </is>
      </c>
    </row>
    <row r="28" ht="48" customHeight="1">
      <c r="B28" s="23" t="n"/>
      <c r="C28" s="23" t="n"/>
      <c r="D28" s="23" t="n"/>
      <c r="E28" s="23" t="n"/>
      <c r="F28" s="21" t="n">
        <v>3</v>
      </c>
      <c r="G28" s="5" t="inlineStr">
        <is>
          <t>Asignados a mí</t>
        </is>
      </c>
      <c r="H28" s="5" t="inlineStr">
        <is>
          <t>En caso que tenga tickets asignados</t>
        </is>
      </c>
      <c r="I28" s="5" t="inlineStr">
        <is>
          <t>cuando elijo la vista «Asignados a mí»</t>
        </is>
      </c>
      <c r="J28" s="5" t="inlineStr">
        <is>
          <t>el sistema muestra solo mis tickets</t>
        </is>
      </c>
    </row>
    <row r="30" ht="48" customHeight="1">
      <c r="B30" s="5" t="inlineStr">
        <is>
          <t>ACA-EP02-HU02</t>
        </is>
      </c>
      <c r="C30" s="5" t="inlineStr">
        <is>
          <t>Como agente de soporte</t>
        </is>
      </c>
      <c r="D30" s="5" t="inlineStr">
        <is>
          <t>Necesito registrar un ticket recibido por correo o teléfono</t>
        </is>
      </c>
      <c r="E30" s="5" t="inlineStr">
        <is>
          <t>Con la finalidad de que toda solicitud quede trazada en un solo lugar</t>
        </is>
      </c>
      <c r="F30" s="21" t="n">
        <v>1</v>
      </c>
      <c r="G30" s="5" t="inlineStr">
        <is>
          <t>Solicitante con cuenta</t>
        </is>
      </c>
      <c r="H30" s="5" t="inlineStr">
        <is>
          <t>En caso que el correo corresponda a un usuario de la app</t>
        </is>
      </c>
      <c r="I30" s="5" t="inlineStr">
        <is>
          <t>cuando registro el ticket</t>
        </is>
      </c>
      <c r="J30" s="5" t="inlineStr">
        <is>
          <t>el sistema lo enlaza al usuario y muestra su contexto</t>
        </is>
      </c>
    </row>
    <row r="31" ht="48" customHeight="1">
      <c r="B31" s="22" t="n"/>
      <c r="C31" s="22" t="n"/>
      <c r="D31" s="22" t="n"/>
      <c r="E31" s="22" t="n"/>
      <c r="F31" s="21" t="n">
        <v>2</v>
      </c>
      <c r="G31" s="5" t="inlineStr">
        <is>
          <t>Solicitante sin cuenta</t>
        </is>
      </c>
      <c r="H31" s="5" t="inlineStr">
        <is>
          <t>En caso que el correo no exista en la app</t>
        </is>
      </c>
      <c r="I31" s="5" t="inlineStr">
        <is>
          <t>cuando registro el ticket</t>
        </is>
      </c>
      <c r="J31" s="5" t="inlineStr">
        <is>
          <t>el sistema me avisa y permite crearlo sin enlazar indicando el nombre</t>
        </is>
      </c>
    </row>
    <row r="32" ht="33" customHeight="1">
      <c r="B32" s="23" t="n"/>
      <c r="C32" s="23" t="n"/>
      <c r="D32" s="23" t="n"/>
      <c r="E32" s="23" t="n"/>
      <c r="F32" s="21" t="n">
        <v>3</v>
      </c>
      <c r="G32" s="5" t="inlineStr">
        <is>
          <t>Datos incompletos</t>
        </is>
      </c>
      <c r="H32" s="5" t="inlineStr">
        <is>
          <t>En caso que falten asunto, categoría o descripción</t>
        </is>
      </c>
      <c r="I32" s="5" t="inlineStr">
        <is>
          <t>cuando intento guardar</t>
        </is>
      </c>
      <c r="J32" s="5" t="inlineStr">
        <is>
          <t>el sistema indica los campos obligatorios</t>
        </is>
      </c>
    </row>
    <row r="34" ht="33" customHeight="1">
      <c r="B34" s="5" t="inlineStr">
        <is>
          <t>ACA-EP02-HU03</t>
        </is>
      </c>
      <c r="C34" s="5" t="inlineStr">
        <is>
          <t>Como agente de soporte</t>
        </is>
      </c>
      <c r="D34" s="5" t="inlineStr">
        <is>
          <t>Necesito tomar un ticket y cambiar su estado, prioridad y categoría</t>
        </is>
      </c>
      <c r="E34" s="5" t="inlineStr">
        <is>
          <t>Con la finalidad de gestionar su ciclo de vida hasta resolverlo</t>
        </is>
      </c>
      <c r="F34" s="21" t="n">
        <v>1</v>
      </c>
      <c r="G34" s="5" t="inlineStr">
        <is>
          <t>Tomar ticket</t>
        </is>
      </c>
      <c r="H34" s="5" t="inlineStr">
        <is>
          <t>En caso que el ticket esté abierto y sin asignar</t>
        </is>
      </c>
      <c r="I34" s="5" t="inlineStr">
        <is>
          <t>cuando presiono «Tomar ticket»</t>
        </is>
      </c>
      <c r="J34" s="5" t="inlineStr">
        <is>
          <t>el sistema me lo asigna y lo pasa a «en curso»</t>
        </is>
      </c>
    </row>
    <row r="35" ht="33" customHeight="1">
      <c r="B35" s="22" t="n"/>
      <c r="C35" s="22" t="n"/>
      <c r="D35" s="22" t="n"/>
      <c r="E35" s="22" t="n"/>
      <c r="F35" s="21" t="n">
        <v>2</v>
      </c>
      <c r="G35" s="5" t="inlineStr">
        <is>
          <t>Transición válida</t>
        </is>
      </c>
      <c r="H35" s="5" t="inlineStr">
        <is>
          <t>En caso que el cambio de estado esté permitido</t>
        </is>
      </c>
      <c r="I35" s="5" t="inlineStr">
        <is>
          <t>cuando elijo el nuevo estado</t>
        </is>
      </c>
      <c r="J35" s="5" t="inlineStr">
        <is>
          <t>el sistema lo aplica y lo registra en la auditoría</t>
        </is>
      </c>
    </row>
    <row r="36" ht="48" customHeight="1">
      <c r="B36" s="23" t="n"/>
      <c r="C36" s="23" t="n"/>
      <c r="D36" s="23" t="n"/>
      <c r="E36" s="23" t="n"/>
      <c r="F36" s="21" t="n">
        <v>3</v>
      </c>
      <c r="G36" s="5" t="inlineStr">
        <is>
          <t>Transición inválida</t>
        </is>
      </c>
      <c r="H36" s="5" t="inlineStr">
        <is>
          <t>En caso que intente un cambio no permitido (por ejemplo, de cerrado a en curso)</t>
        </is>
      </c>
      <c r="I36" s="5" t="inlineStr">
        <is>
          <t>cuando confirmo</t>
        </is>
      </c>
      <c r="J36" s="5" t="inlineStr">
        <is>
          <t>el sistema lo rechaza e indica las transiciones permitidas</t>
        </is>
      </c>
    </row>
    <row r="38" ht="48" customHeight="1">
      <c r="B38" s="5" t="inlineStr">
        <is>
          <t>ACA-EP02-HU04</t>
        </is>
      </c>
      <c r="C38" s="5" t="inlineStr">
        <is>
          <t>Como agente de soporte</t>
        </is>
      </c>
      <c r="D38" s="5" t="inlineStr">
        <is>
          <t>Necesito ver el contexto del solicitante dentro del ticket</t>
        </is>
      </c>
      <c r="E38" s="5" t="inlineStr">
        <is>
          <t>Con la finalidad de resolver sin tener que preguntar datos que ya existen</t>
        </is>
      </c>
      <c r="F38" s="21" t="n">
        <v>1</v>
      </c>
      <c r="G38" s="5" t="inlineStr">
        <is>
          <t>Contexto disponible</t>
        </is>
      </c>
      <c r="H38" s="5" t="inlineStr">
        <is>
          <t>En caso que el ticket esté enlazado a un usuario</t>
        </is>
      </c>
      <c r="I38" s="5" t="inlineStr">
        <is>
          <t>cuando abro el detalle</t>
        </is>
      </c>
      <c r="J38" s="5" t="inlineStr">
        <is>
          <t>el sistema muestra estado de la cuenta, fecha de registro, último acceso, pacientes y tickets previos</t>
        </is>
      </c>
    </row>
    <row r="39" ht="33" customHeight="1">
      <c r="B39" s="23" t="n"/>
      <c r="C39" s="23" t="n"/>
      <c r="D39" s="23" t="n"/>
      <c r="E39" s="23" t="n"/>
      <c r="F39" s="21" t="n">
        <v>2</v>
      </c>
      <c r="G39" s="5" t="inlineStr">
        <is>
          <t>Sin cuenta enlazada</t>
        </is>
      </c>
      <c r="H39" s="5" t="inlineStr">
        <is>
          <t>En caso que el ticket no tenga usuario</t>
        </is>
      </c>
      <c r="I39" s="5" t="inlineStr">
        <is>
          <t>cuando abro el detalle</t>
        </is>
      </c>
      <c r="J39" s="5" t="inlineStr">
        <is>
          <t>el sistema indica que no hay cuenta enlazada</t>
        </is>
      </c>
    </row>
    <row r="41" ht="48" customHeight="1">
      <c r="B41" s="5" t="inlineStr">
        <is>
          <t>ACA-EP02-HU05</t>
        </is>
      </c>
      <c r="C41" s="5" t="inlineStr">
        <is>
          <t>Como agente de soporte</t>
        </is>
      </c>
      <c r="D41" s="5" t="inlineStr">
        <is>
          <t>Necesito responder al usuario o dejar notas internas en el ticket</t>
        </is>
      </c>
      <c r="E41" s="5" t="inlineStr">
        <is>
          <t>Con la finalidad de comunicar avances y compartir información con el equipo</t>
        </is>
      </c>
      <c r="F41" s="21" t="n">
        <v>1</v>
      </c>
      <c r="G41" s="5" t="inlineStr">
        <is>
          <t>Respuesta pública</t>
        </is>
      </c>
      <c r="H41" s="5" t="inlineStr">
        <is>
          <t>En caso que el ticket no esté cerrado</t>
        </is>
      </c>
      <c r="I41" s="5" t="inlineStr">
        <is>
          <t>cuando envío una respuesta</t>
        </is>
      </c>
      <c r="J41" s="5" t="inlineStr">
        <is>
          <t>el sistema la agrega al hilo, registra la primera respuesta y notifica al usuario (simulado)</t>
        </is>
      </c>
    </row>
    <row r="42" ht="33" customHeight="1">
      <c r="B42" s="23" t="n"/>
      <c r="C42" s="23" t="n"/>
      <c r="D42" s="23" t="n"/>
      <c r="E42" s="23" t="n"/>
      <c r="F42" s="21" t="n">
        <v>2</v>
      </c>
      <c r="G42" s="5" t="inlineStr">
        <is>
          <t>Nota interna</t>
        </is>
      </c>
      <c r="H42" s="5" t="inlineStr">
        <is>
          <t>En caso que marque la respuesta como interna</t>
        </is>
      </c>
      <c r="I42" s="5" t="inlineStr">
        <is>
          <t>cuando la guardo</t>
        </is>
      </c>
      <c r="J42" s="5" t="inlineStr">
        <is>
          <t>el sistema la muestra solo al staff, con otro color</t>
        </is>
      </c>
    </row>
    <row r="44" ht="48" customHeight="1">
      <c r="B44" s="5" t="inlineStr">
        <is>
          <t>ACA-EP02-HU06</t>
        </is>
      </c>
      <c r="C44" s="5" t="inlineStr">
        <is>
          <t>Como agente de soporte</t>
        </is>
      </c>
      <c r="D44" s="5" t="inlineStr">
        <is>
          <t>Necesito que al resolver un ticket se envíe una encuesta de satisfacción</t>
        </is>
      </c>
      <c r="E44" s="5" t="inlineStr">
        <is>
          <t>Con la finalidad de medir la calidad del servicio (CSAT)</t>
        </is>
      </c>
      <c r="F44" s="21" t="n">
        <v>1</v>
      </c>
      <c r="G44" s="5" t="inlineStr">
        <is>
          <t>Envío de encuesta</t>
        </is>
      </c>
      <c r="H44" s="5" t="inlineStr">
        <is>
          <t>En caso que el ticket pase a «resuelto»</t>
        </is>
      </c>
      <c r="I44" s="5" t="inlineStr">
        <is>
          <t>cuando guardo el cambio</t>
        </is>
      </c>
      <c r="J44" s="5" t="inlineStr">
        <is>
          <t>el sistema envía la encuesta (simulada) y la muestra en el detalle</t>
        </is>
      </c>
    </row>
    <row r="45" ht="33" customHeight="1">
      <c r="B45" s="23" t="n"/>
      <c r="C45" s="23" t="n"/>
      <c r="D45" s="23" t="n"/>
      <c r="E45" s="23" t="n"/>
      <c r="F45" s="21" t="n">
        <v>2</v>
      </c>
      <c r="G45" s="5" t="inlineStr">
        <is>
          <t>Cierre automático</t>
        </is>
      </c>
      <c r="H45" s="5" t="inlineStr">
        <is>
          <t>En caso que un ticket lleve 7 días resuelto</t>
        </is>
      </c>
      <c r="I45" s="5" t="inlineStr">
        <is>
          <t>cuando corre el planificador</t>
        </is>
      </c>
      <c r="J45" s="5" t="inlineStr">
        <is>
          <t>el sistema lo cierra automáticamente</t>
        </is>
      </c>
    </row>
    <row r="47" ht="63" customHeight="1">
      <c r="B47" s="5" t="inlineStr">
        <is>
          <t>ACA-EP02-HU07</t>
        </is>
      </c>
      <c r="C47" s="5" t="inlineStr">
        <is>
          <t>Como agente de soporte</t>
        </is>
      </c>
      <c r="D47" s="5" t="inlineStr">
        <is>
          <t>Necesito ver los indicadores de soporte</t>
        </is>
      </c>
      <c r="E47" s="5" t="inlineStr">
        <is>
          <t>Con la finalidad de saber si cumplimos el objetivo de primera respuesta y la satisfacción de los usuarios</t>
        </is>
      </c>
      <c r="F47" s="21" t="n">
        <v>1</v>
      </c>
      <c r="G47" s="5" t="inlineStr">
        <is>
          <t>Indicadores</t>
        </is>
      </c>
      <c r="H47" s="5" t="inlineStr">
        <is>
          <t>En caso que existan tickets en los últimos 30 días</t>
        </is>
      </c>
      <c r="I47" s="5" t="inlineStr">
        <is>
          <t>cuando abro soporte</t>
        </is>
      </c>
      <c r="J47" s="5" t="inlineStr">
        <is>
          <t>el sistema muestra abiertos, en curso, resueltos, tiempo de primera respuesta, tiempo de resolución y CSAT</t>
        </is>
      </c>
    </row>
    <row r="48" ht="33" customHeight="1">
      <c r="B48" s="23" t="n"/>
      <c r="C48" s="23" t="n"/>
      <c r="D48" s="23" t="n"/>
      <c r="E48" s="23" t="n"/>
      <c r="F48" s="21" t="n">
        <v>2</v>
      </c>
      <c r="G48" s="5" t="inlineStr">
        <is>
          <t>Por categoría</t>
        </is>
      </c>
      <c r="H48" s="5" t="inlineStr">
        <is>
          <t>En caso que haya tickets de varias categorías</t>
        </is>
      </c>
      <c r="I48" s="5" t="inlineStr">
        <is>
          <t>cuando reviso el panel</t>
        </is>
      </c>
      <c r="J48" s="5" t="inlineStr">
        <is>
          <t>el sistema muestra la distribución por categoría</t>
        </is>
      </c>
    </row>
    <row r="50" ht="20" customHeight="1">
      <c r="B50" s="20" t="inlineStr">
        <is>
          <t>EP03 · Usuarios de la app</t>
        </is>
      </c>
      <c r="C50" s="13" t="n"/>
      <c r="D50" s="13" t="n"/>
      <c r="E50" s="13" t="n"/>
      <c r="F50" s="13" t="n"/>
      <c r="G50" s="13" t="n"/>
      <c r="H50" s="13" t="n"/>
      <c r="I50" s="13" t="n"/>
      <c r="J50" s="13" t="n"/>
    </row>
    <row r="51" ht="33" customHeight="1">
      <c r="B51" s="5" t="inlineStr">
        <is>
          <t>ACA-EP03-HU01</t>
        </is>
      </c>
      <c r="C51" s="5" t="inlineStr">
        <is>
          <t>Como agente de soporte</t>
        </is>
      </c>
      <c r="D51" s="5" t="inlineStr">
        <is>
          <t>Necesito buscar usuarios de la app por nombre, correo o paciente</t>
        </is>
      </c>
      <c r="E51" s="5" t="inlineStr">
        <is>
          <t>Con la finalidad de encontrar rápido a quien necesita ayuda</t>
        </is>
      </c>
      <c r="F51" s="21" t="n">
        <v>1</v>
      </c>
      <c r="G51" s="5" t="inlineStr">
        <is>
          <t>Búsqueda por paciente</t>
        </is>
      </c>
      <c r="H51" s="5" t="inlineStr">
        <is>
          <t>En caso que escriba el nombre de un paciente</t>
        </is>
      </c>
      <c r="I51" s="5" t="inlineStr">
        <is>
          <t>cuando busco</t>
        </is>
      </c>
      <c r="J51" s="5" t="inlineStr">
        <is>
          <t>el sistema muestra los usuarios de su círculo de cuidado</t>
        </is>
      </c>
    </row>
    <row r="52" ht="33" customHeight="1">
      <c r="B52" s="23" t="n"/>
      <c r="C52" s="23" t="n"/>
      <c r="D52" s="23" t="n"/>
      <c r="E52" s="23" t="n"/>
      <c r="F52" s="21" t="n">
        <v>2</v>
      </c>
      <c r="G52" s="5" t="inlineStr">
        <is>
          <t>Ficha del usuario</t>
        </is>
      </c>
      <c r="H52" s="5" t="inlineStr">
        <is>
          <t>En caso que seleccione un usuario</t>
        </is>
      </c>
      <c r="I52" s="5" t="inlineStr">
        <is>
          <t>cuando hago clic en la fila</t>
        </is>
      </c>
      <c r="J52" s="5" t="inlineStr">
        <is>
          <t>el sistema muestra perfiles, círculos de cuidado y tickets</t>
        </is>
      </c>
    </row>
    <row r="54" ht="48" customHeight="1">
      <c r="B54" s="5" t="inlineStr">
        <is>
          <t>ACA-EP03-HU02</t>
        </is>
      </c>
      <c r="C54" s="5" t="inlineStr">
        <is>
          <t>Como agente de soporte</t>
        </is>
      </c>
      <c r="D54" s="5" t="inlineStr">
        <is>
          <t>Necesito desactivar o reactivar la cuenta de un usuario indicando el motivo</t>
        </is>
      </c>
      <c r="E54" s="5" t="inlineStr">
        <is>
          <t>Con la finalidad de responder a solicitudes del titular o a usos indebidos sin borrar datos</t>
        </is>
      </c>
      <c r="F54" s="21" t="n">
        <v>1</v>
      </c>
      <c r="G54" s="5" t="inlineStr">
        <is>
          <t>Desactivar con motivo</t>
        </is>
      </c>
      <c r="H54" s="5" t="inlineStr">
        <is>
          <t>En caso que la cuenta esté activa y escriba un motivo de al menos 5 caracteres</t>
        </is>
      </c>
      <c r="I54" s="5" t="inlineStr">
        <is>
          <t>cuando presiono «Desactivar cuenta»</t>
        </is>
      </c>
      <c r="J54" s="5" t="inlineStr">
        <is>
          <t>el sistema la desactiva y registra el motivo en la auditoría</t>
        </is>
      </c>
    </row>
    <row r="55" ht="33" customHeight="1">
      <c r="B55" s="22" t="n"/>
      <c r="C55" s="22" t="n"/>
      <c r="D55" s="22" t="n"/>
      <c r="E55" s="22" t="n"/>
      <c r="F55" s="21" t="n">
        <v>2</v>
      </c>
      <c r="G55" s="5" t="inlineStr">
        <is>
          <t>Sin motivo</t>
        </is>
      </c>
      <c r="H55" s="5" t="inlineStr">
        <is>
          <t>En caso que no escriba motivo</t>
        </is>
      </c>
      <c r="I55" s="5" t="inlineStr">
        <is>
          <t>cuando intento desactivar</t>
        </is>
      </c>
      <c r="J55" s="5" t="inlineStr">
        <is>
          <t>el sistema no habilita la acción</t>
        </is>
      </c>
    </row>
    <row r="56" ht="33" customHeight="1">
      <c r="B56" s="23" t="n"/>
      <c r="C56" s="23" t="n"/>
      <c r="D56" s="23" t="n"/>
      <c r="E56" s="23" t="n"/>
      <c r="F56" s="21" t="n">
        <v>3</v>
      </c>
      <c r="G56" s="5" t="inlineStr">
        <is>
          <t>Reactivar</t>
        </is>
      </c>
      <c r="H56" s="5" t="inlineStr">
        <is>
          <t>En caso que la cuenta esté desactivada</t>
        </is>
      </c>
      <c r="I56" s="5" t="inlineStr">
        <is>
          <t>cuando la reactivo con motivo</t>
        </is>
      </c>
      <c r="J56" s="5" t="inlineStr">
        <is>
          <t>el sistema la deja activa nuevamente</t>
        </is>
      </c>
    </row>
    <row r="58" ht="48" customHeight="1">
      <c r="B58" s="5" t="inlineStr">
        <is>
          <t>ACA-EP03-HU03</t>
        </is>
      </c>
      <c r="C58" s="5" t="inlineStr">
        <is>
          <t>Como agente de soporte</t>
        </is>
      </c>
      <c r="D58" s="5" t="inlineStr">
        <is>
          <t>Necesito reenviar la invitación a un círculo de cuidado</t>
        </is>
      </c>
      <c r="E58" s="5" t="inlineStr">
        <is>
          <t>Con la finalidad de que el familiar o la cuidadora pueda unirse si no recibió el correo</t>
        </is>
      </c>
      <c r="F58" s="21" t="n">
        <v>1</v>
      </c>
      <c r="G58" s="5" t="inlineStr">
        <is>
          <t>Invitación pendiente</t>
        </is>
      </c>
      <c r="H58" s="5" t="inlineStr">
        <is>
          <t>En caso que la membresía esté en estado «invitado»</t>
        </is>
      </c>
      <c r="I58" s="5" t="inlineStr">
        <is>
          <t>cuando presiono «Reenviar invitación»</t>
        </is>
      </c>
      <c r="J58" s="5" t="inlineStr">
        <is>
          <t>el sistema la reenvía (simulado) y actualiza la fecha</t>
        </is>
      </c>
    </row>
    <row r="59" ht="33" customHeight="1">
      <c r="B59" s="23" t="n"/>
      <c r="C59" s="23" t="n"/>
      <c r="D59" s="23" t="n"/>
      <c r="E59" s="23" t="n"/>
      <c r="F59" s="21" t="n">
        <v>2</v>
      </c>
      <c r="G59" s="5" t="inlineStr">
        <is>
          <t>Membresía activa</t>
        </is>
      </c>
      <c r="H59" s="5" t="inlineStr">
        <is>
          <t>En caso que la persona ya haya aceptado</t>
        </is>
      </c>
      <c r="I59" s="5" t="inlineStr">
        <is>
          <t>cuando reviso la ficha</t>
        </is>
      </c>
      <c r="J59" s="5" t="inlineStr">
        <is>
          <t>el sistema no muestra la opción de reenviar</t>
        </is>
      </c>
    </row>
    <row r="61" ht="20" customHeight="1">
      <c r="B61" s="20" t="inlineStr">
        <is>
          <t>EP04 · Monitoreo operativo e incidentes</t>
        </is>
      </c>
      <c r="C61" s="13" t="n"/>
      <c r="D61" s="13" t="n"/>
      <c r="E61" s="13" t="n"/>
      <c r="F61" s="13" t="n"/>
      <c r="G61" s="13" t="n"/>
      <c r="H61" s="13" t="n"/>
      <c r="I61" s="13" t="n"/>
      <c r="J61" s="13" t="n"/>
    </row>
    <row r="62" ht="33" customHeight="1">
      <c r="B62" s="5" t="inlineStr">
        <is>
          <t>ACA-EP04-HU01</t>
        </is>
      </c>
      <c r="C62" s="5" t="inlineStr">
        <is>
          <t>Como administrador</t>
        </is>
      </c>
      <c r="D62" s="5" t="inlineStr">
        <is>
          <t>Necesito que un monitor verifique periódicamente cada componente de la plataforma</t>
        </is>
      </c>
      <c r="E62" s="5" t="inlineStr">
        <is>
          <t>Con la finalidad de detectar degradaciones antes de que afecten a los pacientes</t>
        </is>
      </c>
      <c r="F62" s="21" t="n">
        <v>1</v>
      </c>
      <c r="G62" s="5" t="inlineStr">
        <is>
          <t>Verificación periódica</t>
        </is>
      </c>
      <c r="H62" s="5" t="inlineStr">
        <is>
          <t>En caso que el planificador esté activo</t>
        </is>
      </c>
      <c r="I62" s="5" t="inlineStr">
        <is>
          <t>cuando pasa el intervalo (60 s)</t>
        </is>
      </c>
      <c r="J62" s="5" t="inlineStr">
        <is>
          <t>el sistema registra latencia y resultado de cada componente</t>
        </is>
      </c>
    </row>
    <row r="63" ht="33" customHeight="1">
      <c r="B63" s="22" t="n"/>
      <c r="C63" s="22" t="n"/>
      <c r="D63" s="22" t="n"/>
      <c r="E63" s="22" t="n"/>
      <c r="F63" s="21" t="n">
        <v>2</v>
      </c>
      <c r="G63" s="5" t="inlineStr">
        <is>
          <t>Degradación</t>
        </is>
      </c>
      <c r="H63" s="5" t="inlineStr">
        <is>
          <t>En caso que el p95 supere el umbral del componente</t>
        </is>
      </c>
      <c r="I63" s="5" t="inlineStr">
        <is>
          <t>cuando termina el ciclo</t>
        </is>
      </c>
      <c r="J63" s="5" t="inlineStr">
        <is>
          <t>el sistema marca el componente como «degradado»</t>
        </is>
      </c>
    </row>
    <row r="64" ht="33" customHeight="1">
      <c r="B64" s="23" t="n"/>
      <c r="C64" s="23" t="n"/>
      <c r="D64" s="23" t="n"/>
      <c r="E64" s="23" t="n"/>
      <c r="F64" s="21" t="n">
        <v>3</v>
      </c>
      <c r="G64" s="5" t="inlineStr">
        <is>
          <t>Caída</t>
        </is>
      </c>
      <c r="H64" s="5" t="inlineStr">
        <is>
          <t>En caso que un componente falle 3 veces seguidas</t>
        </is>
      </c>
      <c r="I64" s="5" t="inlineStr">
        <is>
          <t>cuando termina el ciclo</t>
        </is>
      </c>
      <c r="J64" s="5" t="inlineStr">
        <is>
          <t>el sistema lo marca como «caído»</t>
        </is>
      </c>
    </row>
    <row r="66" ht="48" customHeight="1">
      <c r="B66" s="5" t="inlineStr">
        <is>
          <t>ACA-EP04-HU02</t>
        </is>
      </c>
      <c r="C66" s="5" t="inlineStr">
        <is>
          <t>Como administrador</t>
        </is>
      </c>
      <c r="D66" s="5" t="inlineStr">
        <is>
          <t>Necesito que se abra un incidente automáticamente cuando un componente cae</t>
        </is>
      </c>
      <c r="E66" s="5" t="inlineStr">
        <is>
          <t>Con la finalidad de reaccionar en menos de 5 minutos (objetivo OE2)</t>
        </is>
      </c>
      <c r="F66" s="21" t="n">
        <v>1</v>
      </c>
      <c r="G66" s="5" t="inlineStr">
        <is>
          <t>Apertura automática</t>
        </is>
      </c>
      <c r="H66" s="5" t="inlineStr">
        <is>
          <t>En caso que un componente pase a «caído»</t>
        </is>
      </c>
      <c r="I66" s="5" t="inlineStr">
        <is>
          <t>cuando termina el ciclo del monitor</t>
        </is>
      </c>
      <c r="J66" s="5" t="inlineStr">
        <is>
          <t>el sistema crea un incidente «investigando» marcado como abierto por el monitor</t>
        </is>
      </c>
    </row>
    <row r="67" ht="48" customHeight="1">
      <c r="B67" s="23" t="n"/>
      <c r="C67" s="23" t="n"/>
      <c r="D67" s="23" t="n"/>
      <c r="E67" s="23" t="n"/>
      <c r="F67" s="21" t="n">
        <v>2</v>
      </c>
      <c r="G67" s="5" t="inlineStr">
        <is>
          <t>Sin duplicados</t>
        </is>
      </c>
      <c r="H67" s="5" t="inlineStr">
        <is>
          <t>En caso que ya exista un incidente abierto para ese componente</t>
        </is>
      </c>
      <c r="I67" s="5" t="inlineStr">
        <is>
          <t>cuando sigue fallando</t>
        </is>
      </c>
      <c r="J67" s="5" t="inlineStr">
        <is>
          <t>el sistema no crea otro incidente</t>
        </is>
      </c>
    </row>
    <row r="69" ht="33" customHeight="1">
      <c r="B69" s="5" t="inlineStr">
        <is>
          <t>ACA-EP04-HU03</t>
        </is>
      </c>
      <c r="C69" s="5" t="inlineStr">
        <is>
          <t>Como agente de soporte</t>
        </is>
      </c>
      <c r="D69" s="5" t="inlineStr">
        <is>
          <t>Necesito ver el estado operativo general, por componente y por proceso crítico</t>
        </is>
      </c>
      <c r="E69" s="5" t="inlineStr">
        <is>
          <t>Con la finalidad de informar a los usuarios con datos y priorizar el trabajo</t>
        </is>
      </c>
      <c r="F69" s="21" t="n">
        <v>1</v>
      </c>
      <c r="G69" s="5" t="inlineStr">
        <is>
          <t>Estado general</t>
        </is>
      </c>
      <c r="H69" s="5" t="inlineStr">
        <is>
          <t>En caso que todo funcione</t>
        </is>
      </c>
      <c r="I69" s="5" t="inlineStr">
        <is>
          <t>cuando abro «Estado operativo»</t>
        </is>
      </c>
      <c r="J69" s="5" t="inlineStr">
        <is>
          <t>el sistema muestra un aviso verde «Todos los sistemas operativos»</t>
        </is>
      </c>
    </row>
    <row r="70" ht="48" customHeight="1">
      <c r="B70" s="23" t="n"/>
      <c r="C70" s="23" t="n"/>
      <c r="D70" s="23" t="n"/>
      <c r="E70" s="23" t="n"/>
      <c r="F70" s="21" t="n">
        <v>2</v>
      </c>
      <c r="G70" s="5" t="inlineStr">
        <is>
          <t>Proceso afectado</t>
        </is>
      </c>
      <c r="H70" s="5" t="inlineStr">
        <is>
          <t>En caso que un componente de un proceso crítico esté degradado</t>
        </is>
      </c>
      <c r="I70" s="5" t="inlineStr">
        <is>
          <t>cuando reviso los procesos</t>
        </is>
      </c>
      <c r="J70" s="5" t="inlineStr">
        <is>
          <t>el sistema muestra el proceso con el peor estado de sus componentes</t>
        </is>
      </c>
    </row>
    <row r="72" ht="39" customHeight="1">
      <c r="B72" s="5" t="inlineStr">
        <is>
          <t>ACA-EP04-HU04</t>
        </is>
      </c>
      <c r="C72" s="5" t="inlineStr">
        <is>
          <t>Como agente de soporte</t>
        </is>
      </c>
      <c r="D72" s="5" t="inlineStr">
        <is>
          <t>Necesito monitorear las alertas de pacientes emitidas por la plataforma</t>
        </is>
      </c>
      <c r="E72" s="5" t="inlineStr">
        <is>
          <t>Con la finalidad de detectar alertas sin atender y tiempos de atención altos</t>
        </is>
      </c>
      <c r="F72" s="21" t="n">
        <v>1</v>
      </c>
      <c r="G72" s="5" t="inlineStr">
        <is>
          <t>Resumen por tipo</t>
        </is>
      </c>
      <c r="H72" s="5" t="inlineStr">
        <is>
          <t>En caso que existan alertas en las últimas 24 horas</t>
        </is>
      </c>
      <c r="I72" s="5" t="inlineStr">
        <is>
          <t>cuando reviso el panel</t>
        </is>
      </c>
      <c r="J72" s="5" t="inlineStr">
        <is>
          <t>el sistema muestra emitidas, activas y tiempo medio de atención por tipo</t>
        </is>
      </c>
    </row>
    <row r="73" ht="39" customHeight="1">
      <c r="B73" s="23" t="n"/>
      <c r="C73" s="23" t="n"/>
      <c r="D73" s="23" t="n"/>
      <c r="E73" s="23" t="n"/>
      <c r="F73" s="21" t="n">
        <v>2</v>
      </c>
      <c r="G73" s="5" t="inlineStr">
        <is>
          <t>Alertas sin atender</t>
        </is>
      </c>
      <c r="H73" s="5" t="inlineStr">
        <is>
          <t>En caso que una alerta siga activa</t>
        </is>
      </c>
      <c r="I73" s="5" t="inlineStr">
        <is>
          <t>cuando reviso las recientes</t>
        </is>
      </c>
      <c r="J73" s="5" t="inlineStr">
        <is>
          <t>el sistema la destaca como «Sin atender»</t>
        </is>
      </c>
    </row>
    <row r="75" ht="63" customHeight="1">
      <c r="B75" s="5" t="inlineStr">
        <is>
          <t>ACA-EP04-HU05</t>
        </is>
      </c>
      <c r="C75" s="5" t="inlineStr">
        <is>
          <t>Como agente de soporte</t>
        </is>
      </c>
      <c r="D75" s="5" t="inlineStr">
        <is>
          <t>Necesito registrar, actualizar y resolver incidentes y mantenimientos</t>
        </is>
      </c>
      <c r="E75" s="5" t="inlineStr">
        <is>
          <t>Con la finalidad de coordinar la respuesta y dejar registro de la solución</t>
        </is>
      </c>
      <c r="F75" s="21" t="n">
        <v>1</v>
      </c>
      <c r="G75" s="5" t="inlineStr">
        <is>
          <t>Registrar</t>
        </is>
      </c>
      <c r="H75" s="5" t="inlineStr">
        <is>
          <t>En caso que detecte un problema</t>
        </is>
      </c>
      <c r="I75" s="5" t="inlineStr">
        <is>
          <t>cuando registro título, descripción, severidad y componente</t>
        </is>
      </c>
      <c r="J75" s="5" t="inlineStr">
        <is>
          <t>el sistema crea el incidente en «investigando»</t>
        </is>
      </c>
    </row>
    <row r="76" ht="33" customHeight="1">
      <c r="B76" s="22" t="n"/>
      <c r="C76" s="22" t="n"/>
      <c r="D76" s="22" t="n"/>
      <c r="E76" s="22" t="n"/>
      <c r="F76" s="21" t="n">
        <v>2</v>
      </c>
      <c r="G76" s="5" t="inlineStr">
        <is>
          <t>Resolver sin resolución</t>
        </is>
      </c>
      <c r="H76" s="5" t="inlineStr">
        <is>
          <t>En caso que intente cerrarlo sin describir la solución</t>
        </is>
      </c>
      <c r="I76" s="5" t="inlineStr">
        <is>
          <t>cuando lo marco como resuelto</t>
        </is>
      </c>
      <c r="J76" s="5" t="inlineStr">
        <is>
          <t>el sistema exige la resolución</t>
        </is>
      </c>
    </row>
    <row r="77" ht="33" customHeight="1">
      <c r="B77" s="23" t="n"/>
      <c r="C77" s="23" t="n"/>
      <c r="D77" s="23" t="n"/>
      <c r="E77" s="23" t="n"/>
      <c r="F77" s="21" t="n">
        <v>3</v>
      </c>
      <c r="G77" s="5" t="inlineStr">
        <is>
          <t>Incidente cerrado</t>
        </is>
      </c>
      <c r="H77" s="5" t="inlineStr">
        <is>
          <t>En caso que el incidente ya esté resuelto</t>
        </is>
      </c>
      <c r="I77" s="5" t="inlineStr">
        <is>
          <t>cuando intento modificarlo</t>
        </is>
      </c>
      <c r="J77" s="5" t="inlineStr">
        <is>
          <t>el sistema impide el cambio</t>
        </is>
      </c>
    </row>
    <row r="79" ht="20" customHeight="1">
      <c r="B79" s="20" t="inlineStr">
        <is>
          <t>EP05 · Contenidos y marketplace</t>
        </is>
      </c>
      <c r="C79" s="13" t="n"/>
      <c r="D79" s="13" t="n"/>
      <c r="E79" s="13" t="n"/>
      <c r="F79" s="13" t="n"/>
      <c r="G79" s="13" t="n"/>
      <c r="H79" s="13" t="n"/>
      <c r="I79" s="13" t="n"/>
      <c r="J79" s="13" t="n"/>
    </row>
    <row r="80" ht="33" customHeight="1">
      <c r="B80" s="5" t="inlineStr">
        <is>
          <t>ACA-EP05-HU01</t>
        </is>
      </c>
      <c r="C80" s="5" t="inlineStr">
        <is>
          <t>Como editor de contenido</t>
        </is>
      </c>
      <c r="D80" s="5" t="inlineStr">
        <is>
          <t>Necesito crear y editar chistes y noticias como borrador</t>
        </is>
      </c>
      <c r="E80" s="5" t="inlineStr">
        <is>
          <t>Con la finalidad de preparar contenido de calidad para el adulto mayor</t>
        </is>
      </c>
      <c r="F80" s="21" t="n">
        <v>1</v>
      </c>
      <c r="G80" s="5" t="inlineStr">
        <is>
          <t>Crear borrador</t>
        </is>
      </c>
      <c r="H80" s="5" t="inlineStr">
        <is>
          <t>En caso que complete tipo, título y texto</t>
        </is>
      </c>
      <c r="I80" s="5" t="inlineStr">
        <is>
          <t>cuando guardo</t>
        </is>
      </c>
      <c r="J80" s="5" t="inlineStr">
        <is>
          <t>el sistema lo guarda como borrador, no visible en la app</t>
        </is>
      </c>
    </row>
    <row r="81" ht="33" customHeight="1">
      <c r="B81" s="22" t="n"/>
      <c r="C81" s="22" t="n"/>
      <c r="D81" s="22" t="n"/>
      <c r="E81" s="22" t="n"/>
      <c r="F81" s="21" t="n">
        <v>2</v>
      </c>
      <c r="G81" s="5" t="inlineStr">
        <is>
          <t>Eliminar</t>
        </is>
      </c>
      <c r="H81" s="5" t="inlineStr">
        <is>
          <t>En caso que el contenido no esté publicado</t>
        </is>
      </c>
      <c r="I81" s="5" t="inlineStr">
        <is>
          <t>cuando lo elimino</t>
        </is>
      </c>
      <c r="J81" s="5" t="inlineStr">
        <is>
          <t>el sistema hace un borrado lógico</t>
        </is>
      </c>
    </row>
    <row r="82" ht="33" customHeight="1">
      <c r="B82" s="23" t="n"/>
      <c r="C82" s="23" t="n"/>
      <c r="D82" s="23" t="n"/>
      <c r="E82" s="23" t="n"/>
      <c r="F82" s="21" t="n">
        <v>3</v>
      </c>
      <c r="G82" s="5" t="inlineStr">
        <is>
          <t>Eliminar publicado</t>
        </is>
      </c>
      <c r="H82" s="5" t="inlineStr">
        <is>
          <t>En caso que esté publicado</t>
        </is>
      </c>
      <c r="I82" s="5" t="inlineStr">
        <is>
          <t>cuando intento eliminarlo</t>
        </is>
      </c>
      <c r="J82" s="5" t="inlineStr">
        <is>
          <t>el sistema pide retirarlo primero</t>
        </is>
      </c>
    </row>
    <row r="84" ht="33" customHeight="1">
      <c r="B84" s="5" t="inlineStr">
        <is>
          <t>ACA-EP05-HU02</t>
        </is>
      </c>
      <c r="C84" s="5" t="inlineStr">
        <is>
          <t>Como editor de contenido</t>
        </is>
      </c>
      <c r="D84" s="5" t="inlineStr">
        <is>
          <t>Necesito publicar contenido ahora o programarlo para una fecha</t>
        </is>
      </c>
      <c r="E84" s="5" t="inlineStr">
        <is>
          <t>Con la finalidad de mantener el feed actualizado sin estar conectado a esa hora</t>
        </is>
      </c>
      <c r="F84" s="21" t="n">
        <v>1</v>
      </c>
      <c r="G84" s="5" t="inlineStr">
        <is>
          <t>Publicar ahora</t>
        </is>
      </c>
      <c r="H84" s="5" t="inlineStr">
        <is>
          <t>En caso que el contenido esté en borrador</t>
        </is>
      </c>
      <c r="I84" s="5" t="inlineStr">
        <is>
          <t>cuando presiono «Publicar ahora»</t>
        </is>
      </c>
      <c r="J84" s="5" t="inlineStr">
        <is>
          <t>el sistema lo publica de inmediato</t>
        </is>
      </c>
    </row>
    <row r="85" ht="48" customHeight="1">
      <c r="B85" s="22" t="n"/>
      <c r="C85" s="22" t="n"/>
      <c r="D85" s="22" t="n"/>
      <c r="E85" s="22" t="n"/>
      <c r="F85" s="21" t="n">
        <v>2</v>
      </c>
      <c r="G85" s="5" t="inlineStr">
        <is>
          <t>Programar</t>
        </is>
      </c>
      <c r="H85" s="5" t="inlineStr">
        <is>
          <t>En caso que elija una fecha futura</t>
        </is>
      </c>
      <c r="I85" s="5" t="inlineStr">
        <is>
          <t>cuando confirmo</t>
        </is>
      </c>
      <c r="J85" s="5" t="inlineStr">
        <is>
          <t>el sistema lo deja «programado» y el planificador lo publica a la hora indicada</t>
        </is>
      </c>
    </row>
    <row r="86" ht="33" customHeight="1">
      <c r="B86" s="23" t="n"/>
      <c r="C86" s="23" t="n"/>
      <c r="D86" s="23" t="n"/>
      <c r="E86" s="23" t="n"/>
      <c r="F86" s="21" t="n">
        <v>3</v>
      </c>
      <c r="G86" s="5" t="inlineStr">
        <is>
          <t>Retirar</t>
        </is>
      </c>
      <c r="H86" s="5" t="inlineStr">
        <is>
          <t>En caso que esté publicado</t>
        </is>
      </c>
      <c r="I86" s="5" t="inlineStr">
        <is>
          <t>cuando presiono «Retirar»</t>
        </is>
      </c>
      <c r="J86" s="5" t="inlineStr">
        <is>
          <t>el sistema lo archiva y deja de mostrarse en la app</t>
        </is>
      </c>
    </row>
    <row r="88" ht="48" customHeight="1">
      <c r="B88" s="5" t="inlineStr">
        <is>
          <t>ACA-EP05-HU03</t>
        </is>
      </c>
      <c r="C88" s="5" t="inlineStr">
        <is>
          <t>Como editor de contenido</t>
        </is>
      </c>
      <c r="D88" s="5" t="inlineStr">
        <is>
          <t>Necesito gestionar el catálogo de productos de apoyo</t>
        </is>
      </c>
      <c r="E88" s="5" t="inlineStr">
        <is>
          <t>Con la finalidad de ofrecer artículos útiles en la vitrina del marketplace</t>
        </is>
      </c>
      <c r="F88" s="21" t="n">
        <v>1</v>
      </c>
      <c r="G88" s="5" t="inlineStr">
        <is>
          <t>Agregar producto</t>
        </is>
      </c>
      <c r="H88" s="5" t="inlineStr">
        <is>
          <t>En caso que complete nombre, categoría, proveedor y enlace https</t>
        </is>
      </c>
      <c r="I88" s="5" t="inlineStr">
        <is>
          <t>cuando guardo</t>
        </is>
      </c>
      <c r="J88" s="5" t="inlineStr">
        <is>
          <t>el sistema lo crea en borrador</t>
        </is>
      </c>
    </row>
    <row r="89" ht="33" customHeight="1">
      <c r="B89" s="22" t="n"/>
      <c r="C89" s="22" t="n"/>
      <c r="D89" s="22" t="n"/>
      <c r="E89" s="22" t="n"/>
      <c r="F89" s="21" t="n">
        <v>2</v>
      </c>
      <c r="G89" s="5" t="inlineStr">
        <is>
          <t>Enlace inseguro</t>
        </is>
      </c>
      <c r="H89" s="5" t="inlineStr">
        <is>
          <t>En caso que el enlace no sea https</t>
        </is>
      </c>
      <c r="I89" s="5" t="inlineStr">
        <is>
          <t>cuando guardo</t>
        </is>
      </c>
      <c r="J89" s="5" t="inlineStr">
        <is>
          <t>el sistema rechaza el producto</t>
        </is>
      </c>
    </row>
    <row r="90" ht="33" customHeight="1">
      <c r="B90" s="23" t="n"/>
      <c r="C90" s="23" t="n"/>
      <c r="D90" s="23" t="n"/>
      <c r="E90" s="23" t="n"/>
      <c r="F90" s="21" t="n">
        <v>3</v>
      </c>
      <c r="G90" s="5" t="inlineStr">
        <is>
          <t>Publicar o archivar</t>
        </is>
      </c>
      <c r="H90" s="5" t="inlineStr">
        <is>
          <t>En caso que el producto exista</t>
        </is>
      </c>
      <c r="I90" s="5" t="inlineStr">
        <is>
          <t>cuando cambio su estado</t>
        </is>
      </c>
      <c r="J90" s="5" t="inlineStr">
        <is>
          <t>el sistema lo muestra u oculta en la vitrina</t>
        </is>
      </c>
    </row>
    <row r="92" ht="48" customHeight="1">
      <c r="B92" s="5" t="inlineStr">
        <is>
          <t>ACA-EP05-HU04</t>
        </is>
      </c>
      <c r="C92" s="5" t="inlineStr">
        <is>
          <t>Como editor de contenido</t>
        </is>
      </c>
      <c r="D92" s="5" t="inlineStr">
        <is>
          <t>Necesito aprobar o suspender perfiles de cuidadoras</t>
        </is>
      </c>
      <c r="E92" s="5" t="inlineStr">
        <is>
          <t>Con la finalidad de que solo aparezcan cuidadoras verificadas en el marketplace</t>
        </is>
      </c>
      <c r="F92" s="21" t="n">
        <v>1</v>
      </c>
      <c r="G92" s="5" t="inlineStr">
        <is>
          <t>Aprobar</t>
        </is>
      </c>
      <c r="H92" s="5" t="inlineStr">
        <is>
          <t>En caso que el perfil tenga al menos una certificación verificada</t>
        </is>
      </c>
      <c r="I92" s="5" t="inlineStr">
        <is>
          <t>cuando presiono «Aprobar»</t>
        </is>
      </c>
      <c r="J92" s="5" t="inlineStr">
        <is>
          <t>el sistema lo publica</t>
        </is>
      </c>
    </row>
    <row r="93" ht="33" customHeight="1">
      <c r="B93" s="22" t="n"/>
      <c r="C93" s="22" t="n"/>
      <c r="D93" s="22" t="n"/>
      <c r="E93" s="22" t="n"/>
      <c r="F93" s="21" t="n">
        <v>2</v>
      </c>
      <c r="G93" s="5" t="inlineStr">
        <is>
          <t>Sin certificación</t>
        </is>
      </c>
      <c r="H93" s="5" t="inlineStr">
        <is>
          <t>En caso que no tenga certificaciones verificadas</t>
        </is>
      </c>
      <c r="I93" s="5" t="inlineStr">
        <is>
          <t>cuando intento aprobar</t>
        </is>
      </c>
      <c r="J93" s="5" t="inlineStr">
        <is>
          <t>el sistema no lo permite</t>
        </is>
      </c>
    </row>
    <row r="94" ht="33" customHeight="1">
      <c r="B94" s="23" t="n"/>
      <c r="C94" s="23" t="n"/>
      <c r="D94" s="23" t="n"/>
      <c r="E94" s="23" t="n"/>
      <c r="F94" s="21" t="n">
        <v>3</v>
      </c>
      <c r="G94" s="5" t="inlineStr">
        <is>
          <t>Suspender</t>
        </is>
      </c>
      <c r="H94" s="5" t="inlineStr">
        <is>
          <t>En caso que escriba un motivo de al menos 10 caracteres</t>
        </is>
      </c>
      <c r="I94" s="5" t="inlineStr">
        <is>
          <t>cuando suspendo</t>
        </is>
      </c>
      <c r="J94" s="5" t="inlineStr">
        <is>
          <t>el sistema oculta el perfil y guarda el motivo</t>
        </is>
      </c>
    </row>
    <row r="96" ht="20" customHeight="1">
      <c r="B96" s="20" t="inlineStr">
        <is>
          <t>EP06 · Moderación</t>
        </is>
      </c>
      <c r="C96" s="13" t="n"/>
      <c r="D96" s="13" t="n"/>
      <c r="E96" s="13" t="n"/>
      <c r="F96" s="13" t="n"/>
      <c r="G96" s="13" t="n"/>
      <c r="H96" s="13" t="n"/>
      <c r="I96" s="13" t="n"/>
      <c r="J96" s="13" t="n"/>
    </row>
    <row r="97" ht="33" customHeight="1">
      <c r="B97" s="5" t="inlineStr">
        <is>
          <t>ACA-EP06-HU01</t>
        </is>
      </c>
      <c r="C97" s="5" t="inlineStr">
        <is>
          <t>Como moderador</t>
        </is>
      </c>
      <c r="D97" s="5" t="inlineStr">
        <is>
          <t>Necesito revisar el contenido reportado y aprobarlo o rechazarlo con motivo</t>
        </is>
      </c>
      <c r="E97" s="5" t="inlineStr">
        <is>
          <t>Con la finalidad de mantener una comunidad segura para pacientes y familias</t>
        </is>
      </c>
      <c r="F97" s="21" t="n">
        <v>1</v>
      </c>
      <c r="G97" s="5" t="inlineStr">
        <is>
          <t>Seguridad primero</t>
        </is>
      </c>
      <c r="H97" s="5" t="inlineStr">
        <is>
          <t>En caso que haya reportes de seguridad pendientes</t>
        </is>
      </c>
      <c r="I97" s="5" t="inlineStr">
        <is>
          <t>cuando abro la cola</t>
        </is>
      </c>
      <c r="J97" s="5" t="inlineStr">
        <is>
          <t>el sistema los muestra primero y destacados</t>
        </is>
      </c>
    </row>
    <row r="98" ht="33" customHeight="1">
      <c r="B98" s="22" t="n"/>
      <c r="C98" s="22" t="n"/>
      <c r="D98" s="22" t="n"/>
      <c r="E98" s="22" t="n"/>
      <c r="F98" s="21" t="n">
        <v>2</v>
      </c>
      <c r="G98" s="5" t="inlineStr">
        <is>
          <t>Rechazar</t>
        </is>
      </c>
      <c r="H98" s="5" t="inlineStr">
        <is>
          <t>En caso que elija un motivo de rechazo</t>
        </is>
      </c>
      <c r="I98" s="5" t="inlineStr">
        <is>
          <t>cuando presiono «Rechazar»</t>
        </is>
      </c>
      <c r="J98" s="5" t="inlineStr">
        <is>
          <t>el sistema guarda la decisión, el motivo y quién decidió</t>
        </is>
      </c>
    </row>
    <row r="99" ht="33" customHeight="1">
      <c r="B99" s="22" t="n"/>
      <c r="C99" s="22" t="n"/>
      <c r="D99" s="22" t="n"/>
      <c r="E99" s="22" t="n"/>
      <c r="F99" s="21" t="n">
        <v>3</v>
      </c>
      <c r="G99" s="5" t="inlineStr">
        <is>
          <t>Motivo «otro»</t>
        </is>
      </c>
      <c r="H99" s="5" t="inlineStr">
        <is>
          <t>En caso que el motivo sea «otro» sin nota</t>
        </is>
      </c>
      <c r="I99" s="5" t="inlineStr">
        <is>
          <t>cuando intento rechazar</t>
        </is>
      </c>
      <c r="J99" s="5" t="inlineStr">
        <is>
          <t>el sistema exige la nota</t>
        </is>
      </c>
    </row>
    <row r="100" ht="48" customHeight="1">
      <c r="B100" s="23" t="n"/>
      <c r="C100" s="23" t="n"/>
      <c r="D100" s="23" t="n"/>
      <c r="E100" s="23" t="n"/>
      <c r="F100" s="21" t="n">
        <v>4</v>
      </c>
      <c r="G100" s="5" t="inlineStr">
        <is>
          <t>Reincidencia</t>
        </is>
      </c>
      <c r="H100" s="5" t="inlineStr">
        <is>
          <t>En caso que el autor tenga rechazos en los últimos 90 días</t>
        </is>
      </c>
      <c r="I100" s="5" t="inlineStr">
        <is>
          <t>cuando reviso el elemento</t>
        </is>
      </c>
      <c r="J100" s="5" t="inlineStr">
        <is>
          <t>el sistema muestra cuántos rechazos tiene</t>
        </is>
      </c>
    </row>
    <row r="102" ht="20" customHeight="1">
      <c r="B102" s="20" t="inlineStr">
        <is>
          <t>EP07 · Métricas y dashboards</t>
        </is>
      </c>
      <c r="C102" s="13" t="n"/>
      <c r="D102" s="13" t="n"/>
      <c r="E102" s="13" t="n"/>
      <c r="F102" s="13" t="n"/>
      <c r="G102" s="13" t="n"/>
      <c r="H102" s="13" t="n"/>
      <c r="I102" s="13" t="n"/>
      <c r="J102" s="13" t="n"/>
    </row>
    <row r="103" ht="48" customHeight="1">
      <c r="B103" s="5" t="inlineStr">
        <is>
          <t>ACA-EP07-HU01</t>
        </is>
      </c>
      <c r="C103" s="5" t="inlineStr">
        <is>
          <t>Como analista</t>
        </is>
      </c>
      <c r="D103" s="5" t="inlineStr">
        <is>
          <t>Necesito ver las métricas comerciales por periodo con su variación</t>
        </is>
      </c>
      <c r="E103" s="5" t="inlineStr">
        <is>
          <t>Con la finalidad de tomar decisiones sobre crecimiento y retención</t>
        </is>
      </c>
      <c r="F103" s="21" t="n">
        <v>1</v>
      </c>
      <c r="G103" s="5" t="inlineStr">
        <is>
          <t>KPIs por periodo</t>
        </is>
      </c>
      <c r="H103" s="5" t="inlineStr">
        <is>
          <t>En caso que elija 7 días, 30 días, mes, año o 12 meses</t>
        </is>
      </c>
      <c r="I103" s="5" t="inlineStr">
        <is>
          <t>cuando cambio el periodo</t>
        </is>
      </c>
      <c r="J103" s="5" t="inlineStr">
        <is>
          <t>el sistema muestra descargas, altas, bajas, activos, usuarios de pago y MRR con su variación</t>
        </is>
      </c>
    </row>
    <row r="104" ht="33" customHeight="1">
      <c r="B104" s="22" t="n"/>
      <c r="C104" s="22" t="n"/>
      <c r="D104" s="22" t="n"/>
      <c r="E104" s="22" t="n"/>
      <c r="F104" s="21" t="n">
        <v>2</v>
      </c>
      <c r="G104" s="5" t="inlineStr">
        <is>
          <t>Tendencia</t>
        </is>
      </c>
      <c r="H104" s="5" t="inlineStr">
        <is>
          <t>En caso que pase el mouse sobre el gráfico</t>
        </is>
      </c>
      <c r="I104" s="5" t="inlineStr">
        <is>
          <t>cuando recorro las fechas</t>
        </is>
      </c>
      <c r="J104" s="5" t="inlineStr">
        <is>
          <t>el sistema muestra los valores de altas y bajas de ese día</t>
        </is>
      </c>
    </row>
    <row r="105" ht="33" customHeight="1">
      <c r="B105" s="23" t="n"/>
      <c r="C105" s="23" t="n"/>
      <c r="D105" s="23" t="n"/>
      <c r="E105" s="23" t="n"/>
      <c r="F105" s="21" t="n">
        <v>3</v>
      </c>
      <c r="G105" s="5" t="inlineStr">
        <is>
          <t>Mezcla de planes</t>
        </is>
      </c>
      <c r="H105" s="5" t="inlineStr">
        <is>
          <t>En caso que exista un snapshot de planes</t>
        </is>
      </c>
      <c r="I105" s="5" t="inlineStr">
        <is>
          <t>cuando reviso el panel</t>
        </is>
      </c>
      <c r="J105" s="5" t="inlineStr">
        <is>
          <t>el sistema muestra usuarios, cuota, MRR y churn por plan</t>
        </is>
      </c>
    </row>
    <row r="107" ht="39" customHeight="1">
      <c r="B107" s="5" t="inlineStr">
        <is>
          <t>ACA-EP07-HU02</t>
        </is>
      </c>
      <c r="C107" s="5" t="inlineStr">
        <is>
          <t>Como analista</t>
        </is>
      </c>
      <c r="D107" s="5" t="inlineStr">
        <is>
          <t>Necesito ver el embudo freemium desde la descarga hasta el pago</t>
        </is>
      </c>
      <c r="E107" s="5" t="inlineStr">
        <is>
          <t>Con la finalidad de detectar en qué paso se pierden usuarios (objetivo OE3)</t>
        </is>
      </c>
      <c r="F107" s="21" t="n">
        <v>1</v>
      </c>
      <c r="G107" s="5" t="inlineStr">
        <is>
          <t>Embudo</t>
        </is>
      </c>
      <c r="H107" s="5" t="inlineStr">
        <is>
          <t>En caso que existan datos del embudo</t>
        </is>
      </c>
      <c r="I107" s="5" t="inlineStr">
        <is>
          <t>cuando abro dashboards</t>
        </is>
      </c>
      <c r="J107" s="5" t="inlineStr">
        <is>
          <t>el sistema muestra cada paso con su conversión sobre el anterior</t>
        </is>
      </c>
    </row>
    <row r="108" ht="39" customHeight="1">
      <c r="B108" s="23" t="n"/>
      <c r="C108" s="23" t="n"/>
      <c r="D108" s="23" t="n"/>
      <c r="E108" s="23" t="n"/>
      <c r="F108" s="21" t="n">
        <v>2</v>
      </c>
      <c r="G108" s="5" t="inlineStr">
        <is>
          <t>Comparación</t>
        </is>
      </c>
      <c r="H108" s="5" t="inlineStr">
        <is>
          <t>En caso que exista el dato de hace 30 días</t>
        </is>
      </c>
      <c r="I108" s="5" t="inlineStr">
        <is>
          <t>cuando reviso la conversión a pago</t>
        </is>
      </c>
      <c r="J108" s="5" t="inlineStr">
        <is>
          <t>el sistema la compara con la de hace 30 días</t>
        </is>
      </c>
    </row>
    <row r="110" ht="78" customHeight="1">
      <c r="B110" s="5" t="inlineStr">
        <is>
          <t>ACA-EP07-HU03</t>
        </is>
      </c>
      <c r="C110" s="5" t="inlineStr">
        <is>
          <t>Como analista</t>
        </is>
      </c>
      <c r="D110" s="5" t="inlineStr">
        <is>
          <t>Necesito ver el uso de la app por perfil de usuario</t>
        </is>
      </c>
      <c r="E110" s="5" t="inlineStr">
        <is>
          <t>Con la finalidad de entender cómo usan la app familiares, cuidadoras, adultos mayores y médicos</t>
        </is>
      </c>
      <c r="F110" s="21" t="n">
        <v>1</v>
      </c>
      <c r="G110" s="5" t="inlineStr">
        <is>
          <t>Uso por perfil</t>
        </is>
      </c>
      <c r="H110" s="5" t="inlineStr">
        <is>
          <t>En caso que elija una ventana de 7, 30 o 90 días</t>
        </is>
      </c>
      <c r="I110" s="5" t="inlineStr">
        <is>
          <t>cuando cambio la ventana</t>
        </is>
      </c>
      <c r="J110" s="5" t="inlineStr">
        <is>
          <t>el sistema muestra activos, sesiones, duración y retención por perfil</t>
        </is>
      </c>
    </row>
    <row r="112" ht="48" customHeight="1">
      <c r="B112" s="5" t="inlineStr">
        <is>
          <t>ACA-EP07-HU04</t>
        </is>
      </c>
      <c r="C112" s="5" t="inlineStr">
        <is>
          <t>Como analista</t>
        </is>
      </c>
      <c r="D112" s="5" t="inlineStr">
        <is>
          <t>Necesito ver la adopción de cada funcionalidad por perfil</t>
        </is>
      </c>
      <c r="E112" s="5" t="inlineStr">
        <is>
          <t>Con la finalidad de decidir qué mejorar o promover</t>
        </is>
      </c>
      <c r="F112" s="21" t="n">
        <v>1</v>
      </c>
      <c r="G112" s="5" t="inlineStr">
        <is>
          <t>Mapa de calor</t>
        </is>
      </c>
      <c r="H112" s="5" t="inlineStr">
        <is>
          <t>En caso que existan datos de adopción</t>
        </is>
      </c>
      <c r="I112" s="5" t="inlineStr">
        <is>
          <t>cuando abro el panel</t>
        </is>
      </c>
      <c r="J112" s="5" t="inlineStr">
        <is>
          <t>el sistema muestra el porcentaje por funcionalidad y perfil con intensidad de color</t>
        </is>
      </c>
    </row>
    <row r="113" ht="33" customHeight="1">
      <c r="B113" s="22" t="n"/>
      <c r="C113" s="22" t="n"/>
      <c r="D113" s="22" t="n"/>
      <c r="E113" s="22" t="n"/>
      <c r="F113" s="21" t="n">
        <v>2</v>
      </c>
      <c r="G113" s="5" t="inlineStr">
        <is>
          <t>Baja adopción</t>
        </is>
      </c>
      <c r="H113" s="5" t="inlineStr">
        <is>
          <t>En caso que una funcionalidad tenga menos de 15% de adopción</t>
        </is>
      </c>
      <c r="I113" s="5" t="inlineStr">
        <is>
          <t>cuando reviso el panel</t>
        </is>
      </c>
      <c r="J113" s="5" t="inlineStr">
        <is>
          <t>el sistema la lista como alerta</t>
        </is>
      </c>
    </row>
    <row r="114" ht="33" customHeight="1">
      <c r="B114" s="23" t="n"/>
      <c r="C114" s="23" t="n"/>
      <c r="D114" s="23" t="n"/>
      <c r="E114" s="23" t="n"/>
      <c r="F114" s="21" t="n">
        <v>3</v>
      </c>
      <c r="G114" s="5" t="inlineStr">
        <is>
          <t>No aplica</t>
        </is>
      </c>
      <c r="H114" s="5" t="inlineStr">
        <is>
          <t>En caso que la funcionalidad no aplique a un perfil</t>
        </is>
      </c>
      <c r="I114" s="5" t="inlineStr">
        <is>
          <t>cuando reviso la celda</t>
        </is>
      </c>
      <c r="J114" s="5" t="inlineStr">
        <is>
          <t>el sistema la muestra rayada</t>
        </is>
      </c>
    </row>
    <row r="116" ht="39" customHeight="1">
      <c r="B116" s="5" t="inlineStr">
        <is>
          <t>ACA-EP07-HU05</t>
        </is>
      </c>
      <c r="C116" s="5" t="inlineStr">
        <is>
          <t>Como administrador</t>
        </is>
      </c>
      <c r="D116" s="5" t="inlineStr">
        <is>
          <t>Necesito que las métricas agregadas se consoliden automáticamente</t>
        </is>
      </c>
      <c r="E116" s="5" t="inlineStr">
        <is>
          <t>Con la finalidad de que los dashboards respondan rápido sin calcular sobre datos crudos</t>
        </is>
      </c>
      <c r="F116" s="21" t="n">
        <v>1</v>
      </c>
      <c r="G116" s="5" t="inlineStr">
        <is>
          <t>Consolidación programada</t>
        </is>
      </c>
      <c r="H116" s="5" t="inlineStr">
        <is>
          <t>En caso que el planificador esté activo</t>
        </is>
      </c>
      <c r="I116" s="5" t="inlineStr">
        <is>
          <t>cuando corre el job</t>
        </is>
      </c>
      <c r="J116" s="5" t="inlineStr">
        <is>
          <t>el sistema recalcula la métrica diaria de soporte</t>
        </is>
      </c>
    </row>
    <row r="117" ht="39" customHeight="1">
      <c r="B117" s="23" t="n"/>
      <c r="C117" s="23" t="n"/>
      <c r="D117" s="23" t="n"/>
      <c r="E117" s="23" t="n"/>
      <c r="F117" s="21" t="n">
        <v>2</v>
      </c>
      <c r="G117" s="5" t="inlineStr">
        <is>
          <t>Consolidación manual</t>
        </is>
      </c>
      <c r="H117" s="5" t="inlineStr">
        <is>
          <t>En caso que tenga permiso de escritura en métricas</t>
        </is>
      </c>
      <c r="I117" s="5" t="inlineStr">
        <is>
          <t>cuando presiono «Consolidar ahora»</t>
        </is>
      </c>
      <c r="J117" s="5" t="inlineStr">
        <is>
          <t>el sistema ejecuta la consolidación y la registra en la auditoría</t>
        </is>
      </c>
    </row>
    <row r="119" ht="20" customHeight="1">
      <c r="B119" s="20" t="inlineStr">
        <is>
          <t>EP08 · Gestión comercial</t>
        </is>
      </c>
      <c r="C119" s="13" t="n"/>
      <c r="D119" s="13" t="n"/>
      <c r="E119" s="13" t="n"/>
      <c r="F119" s="13" t="n"/>
      <c r="G119" s="13" t="n"/>
      <c r="H119" s="13" t="n"/>
      <c r="I119" s="13" t="n"/>
      <c r="J119" s="13" t="n"/>
    </row>
    <row r="120" ht="39" customHeight="1">
      <c r="B120" s="5" t="inlineStr">
        <is>
          <t>ACA-EP08-HU01</t>
        </is>
      </c>
      <c r="C120" s="5" t="inlineStr">
        <is>
          <t>Como administrador</t>
        </is>
      </c>
      <c r="D120" s="5" t="inlineStr">
        <is>
          <t>Necesito configurar el precio y las funcionalidades de cada plan</t>
        </is>
      </c>
      <c r="E120" s="5" t="inlineStr">
        <is>
          <t>Con la finalidad de ajustar la oferta comercial sin depender de un desarrollador</t>
        </is>
      </c>
      <c r="F120" s="21" t="n">
        <v>1</v>
      </c>
      <c r="G120" s="5" t="inlineStr">
        <is>
          <t>Editar plan</t>
        </is>
      </c>
      <c r="H120" s="5" t="inlineStr">
        <is>
          <t>En caso que cambie precio o funcionalidades</t>
        </is>
      </c>
      <c r="I120" s="5" t="inlineStr">
        <is>
          <t>cuando guardo</t>
        </is>
      </c>
      <c r="J120" s="5" t="inlineStr">
        <is>
          <t>el sistema aplica el cambio desde el próximo periodo y lo audita</t>
        </is>
      </c>
    </row>
    <row r="121" ht="39" customHeight="1">
      <c r="B121" s="23" t="n"/>
      <c r="C121" s="23" t="n"/>
      <c r="D121" s="23" t="n"/>
      <c r="E121" s="23" t="n"/>
      <c r="F121" s="21" t="n">
        <v>2</v>
      </c>
      <c r="G121" s="5" t="inlineStr">
        <is>
          <t>Plan gratuito</t>
        </is>
      </c>
      <c r="H121" s="5" t="inlineStr">
        <is>
          <t>En caso que intente cobrar por el plan gratuito</t>
        </is>
      </c>
      <c r="I121" s="5" t="inlineStr">
        <is>
          <t>cuando guardo</t>
        </is>
      </c>
      <c r="J121" s="5" t="inlineStr">
        <is>
          <t>el sistema exige precio $0</t>
        </is>
      </c>
    </row>
    <row r="123" ht="48" customHeight="1">
      <c r="B123" s="5" t="inlineStr">
        <is>
          <t>ACA-EP08-HU02</t>
        </is>
      </c>
      <c r="C123" s="5" t="inlineStr">
        <is>
          <t>Como administrador</t>
        </is>
      </c>
      <c r="D123" s="5" t="inlineStr">
        <is>
          <t>Necesito dar de alta y gestionar cuentas de clientes</t>
        </is>
      </c>
      <c r="E123" s="5" t="inlineStr">
        <is>
          <t>Con la finalidad de asociar a cada familia o proveedor un titular y sus datos de facturación</t>
        </is>
      </c>
      <c r="F123" s="21" t="n">
        <v>1</v>
      </c>
      <c r="G123" s="5" t="inlineStr">
        <is>
          <t>Alta de cuenta</t>
        </is>
      </c>
      <c r="H123" s="5" t="inlineStr">
        <is>
          <t>En caso que el titular sea usuario de la app</t>
        </is>
      </c>
      <c r="I123" s="5" t="inlineStr">
        <is>
          <t>cuando creo la cuenta con plan inicial</t>
        </is>
      </c>
      <c r="J123" s="5" t="inlineStr">
        <is>
          <t>el sistema crea la cuenta y su suscripción</t>
        </is>
      </c>
    </row>
    <row r="124" ht="33" customHeight="1">
      <c r="B124" s="22" t="n"/>
      <c r="C124" s="22" t="n"/>
      <c r="D124" s="22" t="n"/>
      <c r="E124" s="22" t="n"/>
      <c r="F124" s="21" t="n">
        <v>2</v>
      </c>
      <c r="G124" s="5" t="inlineStr">
        <is>
          <t>RUT inválido</t>
        </is>
      </c>
      <c r="H124" s="5" t="inlineStr">
        <is>
          <t>En caso que el RUT no tenga un dígito verificador válido</t>
        </is>
      </c>
      <c r="I124" s="5" t="inlineStr">
        <is>
          <t>cuando guardo</t>
        </is>
      </c>
      <c r="J124" s="5" t="inlineStr">
        <is>
          <t>el sistema lo rechaza</t>
        </is>
      </c>
    </row>
    <row r="125" ht="33" customHeight="1">
      <c r="B125" s="23" t="n"/>
      <c r="C125" s="23" t="n"/>
      <c r="D125" s="23" t="n"/>
      <c r="E125" s="23" t="n"/>
      <c r="F125" s="21" t="n">
        <v>3</v>
      </c>
      <c r="G125" s="5" t="inlineStr">
        <is>
          <t>Titular inexistente</t>
        </is>
      </c>
      <c r="H125" s="5" t="inlineStr">
        <is>
          <t>En caso que el correo no corresponda a un usuario</t>
        </is>
      </c>
      <c r="I125" s="5" t="inlineStr">
        <is>
          <t>cuando guardo</t>
        </is>
      </c>
      <c r="J125" s="5" t="inlineStr">
        <is>
          <t>el sistema indica que el usuario no existe</t>
        </is>
      </c>
    </row>
    <row r="127" ht="63" customHeight="1">
      <c r="B127" s="5" t="inlineStr">
        <is>
          <t>ACA-EP08-HU03</t>
        </is>
      </c>
      <c r="C127" s="5" t="inlineStr">
        <is>
          <t>Como administrador</t>
        </is>
      </c>
      <c r="D127" s="5" t="inlineStr">
        <is>
          <t>Necesito cambiar el plan de una suscripción</t>
        </is>
      </c>
      <c r="E127" s="5" t="inlineStr">
        <is>
          <t>Con la finalidad de atender solicitudes de mejora o rebaja de plan</t>
        </is>
      </c>
      <c r="F127" s="21" t="n">
        <v>1</v>
      </c>
      <c r="G127" s="5" t="inlineStr">
        <is>
          <t>Cambio de plan</t>
        </is>
      </c>
      <c r="H127" s="5" t="inlineStr">
        <is>
          <t>En caso que la suscripción esté activa o en mora</t>
        </is>
      </c>
      <c r="I127" s="5" t="inlineStr">
        <is>
          <t>cuando elijo otro plan</t>
        </is>
      </c>
      <c r="J127" s="5" t="inlineStr">
        <is>
          <t>el sistema la actualiza y lo registra</t>
        </is>
      </c>
    </row>
    <row r="129" ht="33" customHeight="1">
      <c r="B129" s="5" t="inlineStr">
        <is>
          <t>ACA-EP08-HU04</t>
        </is>
      </c>
      <c r="C129" s="5" t="inlineStr">
        <is>
          <t>Como administrador</t>
        </is>
      </c>
      <c r="D129" s="5" t="inlineStr">
        <is>
          <t>Necesito cancelar una suscripción con motivo</t>
        </is>
      </c>
      <c r="E129" s="5" t="inlineStr">
        <is>
          <t>Con la finalidad de detener los cobros cuando el cliente lo solicita</t>
        </is>
      </c>
      <c r="F129" s="21" t="n">
        <v>1</v>
      </c>
      <c r="G129" s="5" t="inlineStr">
        <is>
          <t>Cancelar</t>
        </is>
      </c>
      <c r="H129" s="5" t="inlineStr">
        <is>
          <t>En caso que escriba un motivo</t>
        </is>
      </c>
      <c r="I129" s="5" t="inlineStr">
        <is>
          <t>cuando confirmo la cancelación</t>
        </is>
      </c>
      <c r="J129" s="5" t="inlineStr">
        <is>
          <t>el sistema la cancela, avisa a la pasarela y guarda el motivo</t>
        </is>
      </c>
    </row>
    <row r="130" ht="33" customHeight="1">
      <c r="B130" s="23" t="n"/>
      <c r="C130" s="23" t="n"/>
      <c r="D130" s="23" t="n"/>
      <c r="E130" s="23" t="n"/>
      <c r="F130" s="21" t="n">
        <v>2</v>
      </c>
      <c r="G130" s="5" t="inlineStr">
        <is>
          <t>Ya cancelada</t>
        </is>
      </c>
      <c r="H130" s="5" t="inlineStr">
        <is>
          <t>En caso que la suscripción no esté vigente</t>
        </is>
      </c>
      <c r="I130" s="5" t="inlineStr">
        <is>
          <t>cuando reviso la fila</t>
        </is>
      </c>
      <c r="J130" s="5" t="inlineStr">
        <is>
          <t>el sistema no ofrece la opción de cancelar</t>
        </is>
      </c>
    </row>
    <row r="132" ht="63" customHeight="1">
      <c r="B132" s="5" t="inlineStr">
        <is>
          <t>ACA-EP08-HU05</t>
        </is>
      </c>
      <c r="C132" s="5" t="inlineStr">
        <is>
          <t>Como analista</t>
        </is>
      </c>
      <c r="D132" s="5" t="inlineStr">
        <is>
          <t>Necesito consultar las transacciones de pago con filtros</t>
        </is>
      </c>
      <c r="E132" s="5" t="inlineStr">
        <is>
          <t>Con la finalidad de revisar ingresos, rechazos y reembolsos</t>
        </is>
      </c>
      <c r="F132" s="21" t="n">
        <v>1</v>
      </c>
      <c r="G132" s="5" t="inlineStr">
        <is>
          <t>Listado</t>
        </is>
      </c>
      <c r="H132" s="5" t="inlineStr">
        <is>
          <t>En caso que filtre por estado y periodo</t>
        </is>
      </c>
      <c r="I132" s="5" t="inlineStr">
        <is>
          <t>cuando aplico el filtro</t>
        </is>
      </c>
      <c r="J132" s="5" t="inlineStr">
        <is>
          <t>el sistema muestra fecha, cuenta, monto, estado, medio de pago y reembolsos</t>
        </is>
      </c>
    </row>
    <row r="134" ht="48" customHeight="1">
      <c r="B134" s="5" t="inlineStr">
        <is>
          <t>ACA-EP08-HU06</t>
        </is>
      </c>
      <c r="C134" s="5" t="inlineStr">
        <is>
          <t>Como administrador</t>
        </is>
      </c>
      <c r="D134" s="5" t="inlineStr">
        <is>
          <t>Necesito que los eventos de la pasarela de pagos se registren automáticamente</t>
        </is>
      </c>
      <c r="E134" s="5" t="inlineStr">
        <is>
          <t>Con la finalidad de mantener las suscripciones al día sin digitar pagos</t>
        </is>
      </c>
      <c r="F134" s="21" t="n">
        <v>1</v>
      </c>
      <c r="G134" s="5" t="inlineStr">
        <is>
          <t>Pago aprobado</t>
        </is>
      </c>
      <c r="H134" s="5" t="inlineStr">
        <is>
          <t>En caso que llegue un webhook firmado de pago aprobado</t>
        </is>
      </c>
      <c r="I134" s="5" t="inlineStr">
        <is>
          <t>cuando se procesa</t>
        </is>
      </c>
      <c r="J134" s="5" t="inlineStr">
        <is>
          <t>el sistema registra la transacción y extiende el periodo de la suscripción</t>
        </is>
      </c>
    </row>
    <row r="135" ht="33" customHeight="1">
      <c r="B135" s="22" t="n"/>
      <c r="C135" s="22" t="n"/>
      <c r="D135" s="22" t="n"/>
      <c r="E135" s="22" t="n"/>
      <c r="F135" s="21" t="n">
        <v>2</v>
      </c>
      <c r="G135" s="5" t="inlineStr">
        <is>
          <t>Pago rechazado</t>
        </is>
      </c>
      <c r="H135" s="5" t="inlineStr">
        <is>
          <t>En caso que el pago sea rechazado</t>
        </is>
      </c>
      <c r="I135" s="5" t="inlineStr">
        <is>
          <t>cuando se procesa</t>
        </is>
      </c>
      <c r="J135" s="5" t="inlineStr">
        <is>
          <t>el sistema deja la suscripción «en mora»</t>
        </is>
      </c>
    </row>
    <row r="136" ht="33" customHeight="1">
      <c r="B136" s="22" t="n"/>
      <c r="C136" s="22" t="n"/>
      <c r="D136" s="22" t="n"/>
      <c r="E136" s="22" t="n"/>
      <c r="F136" s="21" t="n">
        <v>3</v>
      </c>
      <c r="G136" s="5" t="inlineStr">
        <is>
          <t>Firma inválida</t>
        </is>
      </c>
      <c r="H136" s="5" t="inlineStr">
        <is>
          <t>En caso que la firma HMAC no coincida</t>
        </is>
      </c>
      <c r="I136" s="5" t="inlineStr">
        <is>
          <t>cuando llega el webhook</t>
        </is>
      </c>
      <c r="J136" s="5" t="inlineStr">
        <is>
          <t>el sistema lo rechaza (401)</t>
        </is>
      </c>
    </row>
    <row r="137" ht="33" customHeight="1">
      <c r="B137" s="23" t="n"/>
      <c r="C137" s="23" t="n"/>
      <c r="D137" s="23" t="n"/>
      <c r="E137" s="23" t="n"/>
      <c r="F137" s="21" t="n">
        <v>4</v>
      </c>
      <c r="G137" s="5" t="inlineStr">
        <is>
          <t>Evento duplicado</t>
        </is>
      </c>
      <c r="H137" s="5" t="inlineStr">
        <is>
          <t>En caso que el mismo evento llegue dos veces</t>
        </is>
      </c>
      <c r="I137" s="5" t="inlineStr">
        <is>
          <t>cuando se procesa</t>
        </is>
      </c>
      <c r="J137" s="5" t="inlineStr">
        <is>
          <t>el sistema no lo procesa de nuevo</t>
        </is>
      </c>
    </row>
    <row r="139" ht="33" customHeight="1">
      <c r="B139" s="5" t="inlineStr">
        <is>
          <t>ACA-EP08-HU07</t>
        </is>
      </c>
      <c r="C139" s="5" t="inlineStr">
        <is>
          <t>Como administrador</t>
        </is>
      </c>
      <c r="D139" s="5" t="inlineStr">
        <is>
          <t>Necesito emitir reembolsos totales o parciales</t>
        </is>
      </c>
      <c r="E139" s="5" t="inlineStr">
        <is>
          <t>Con la finalidad de resolver cobros indebidos</t>
        </is>
      </c>
      <c r="F139" s="21" t="n">
        <v>1</v>
      </c>
      <c r="G139" s="5" t="inlineStr">
        <is>
          <t>Reembolso parcial</t>
        </is>
      </c>
      <c r="H139" s="5" t="inlineStr">
        <is>
          <t>En caso que el monto no supere lo reembolsable</t>
        </is>
      </c>
      <c r="I139" s="5" t="inlineStr">
        <is>
          <t>cuando emito el reembolso con motivo</t>
        </is>
      </c>
      <c r="J139" s="5" t="inlineStr">
        <is>
          <t>el sistema lo registra y lo informa a la pasarela</t>
        </is>
      </c>
    </row>
    <row r="140" ht="48" customHeight="1">
      <c r="B140" s="22" t="n"/>
      <c r="C140" s="22" t="n"/>
      <c r="D140" s="22" t="n"/>
      <c r="E140" s="22" t="n"/>
      <c r="F140" s="21" t="n">
        <v>2</v>
      </c>
      <c r="G140" s="5" t="inlineStr">
        <is>
          <t>Monto excedido</t>
        </is>
      </c>
      <c r="H140" s="5" t="inlineStr">
        <is>
          <t>En caso que el monto supere lo cobrado menos lo ya reembolsado</t>
        </is>
      </c>
      <c r="I140" s="5" t="inlineStr">
        <is>
          <t>cuando confirmo</t>
        </is>
      </c>
      <c r="J140" s="5" t="inlineStr">
        <is>
          <t>el sistema lo rechaza</t>
        </is>
      </c>
    </row>
    <row r="141" ht="33" customHeight="1">
      <c r="B141" s="23" t="n"/>
      <c r="C141" s="23" t="n"/>
      <c r="D141" s="23" t="n"/>
      <c r="E141" s="23" t="n"/>
      <c r="F141" s="21" t="n">
        <v>3</v>
      </c>
      <c r="G141" s="5" t="inlineStr">
        <is>
          <t>No reembolsable</t>
        </is>
      </c>
      <c r="H141" s="5" t="inlineStr">
        <is>
          <t>En caso que la transacción esté rechazada</t>
        </is>
      </c>
      <c r="I141" s="5" t="inlineStr">
        <is>
          <t>cuando reviso la fila</t>
        </is>
      </c>
      <c r="J141" s="5" t="inlineStr">
        <is>
          <t>el sistema no ofrece reembolsar</t>
        </is>
      </c>
    </row>
    <row r="143" ht="20" customHeight="1">
      <c r="B143" s="20" t="inlineStr">
        <is>
          <t>EP09 · Configuración y legal</t>
        </is>
      </c>
      <c r="C143" s="13" t="n"/>
      <c r="D143" s="13" t="n"/>
      <c r="E143" s="13" t="n"/>
      <c r="F143" s="13" t="n"/>
      <c r="G143" s="13" t="n"/>
      <c r="H143" s="13" t="n"/>
      <c r="I143" s="13" t="n"/>
      <c r="J143" s="13" t="n"/>
    </row>
    <row r="144" ht="39" customHeight="1">
      <c r="B144" s="5" t="inlineStr">
        <is>
          <t>ACA-EP09-HU01</t>
        </is>
      </c>
      <c r="C144" s="5" t="inlineStr">
        <is>
          <t>Como administrador</t>
        </is>
      </c>
      <c r="D144" s="5" t="inlineStr">
        <is>
          <t>Necesito configurar los umbrales del semáforo de signos vitales</t>
        </is>
      </c>
      <c r="E144" s="5" t="inlineStr">
        <is>
          <t>Con la finalidad de ajustar cuándo se emite una alerta según criterio clínico</t>
        </is>
      </c>
      <c r="F144" s="21" t="n">
        <v>1</v>
      </c>
      <c r="G144" s="5" t="inlineStr">
        <is>
          <t>Actualizar umbral</t>
        </is>
      </c>
      <c r="H144" s="5" t="inlineStr">
        <is>
          <t>En caso que el mínimo sea menor que el máximo</t>
        </is>
      </c>
      <c r="I144" s="5" t="inlineStr">
        <is>
          <t>cuando guardo</t>
        </is>
      </c>
      <c r="J144" s="5" t="inlineStr">
        <is>
          <t>el sistema aplica el nuevo rango y lo audita</t>
        </is>
      </c>
    </row>
    <row r="145" ht="39" customHeight="1">
      <c r="B145" s="23" t="n"/>
      <c r="C145" s="23" t="n"/>
      <c r="D145" s="23" t="n"/>
      <c r="E145" s="23" t="n"/>
      <c r="F145" s="21" t="n">
        <v>2</v>
      </c>
      <c r="G145" s="5" t="inlineStr">
        <is>
          <t>Rango inválido</t>
        </is>
      </c>
      <c r="H145" s="5" t="inlineStr">
        <is>
          <t>En caso que el mínimo sea mayor que el máximo</t>
        </is>
      </c>
      <c r="I145" s="5" t="inlineStr">
        <is>
          <t>cuando guardo</t>
        </is>
      </c>
      <c r="J145" s="5" t="inlineStr">
        <is>
          <t>el sistema rechaza el cambio</t>
        </is>
      </c>
    </row>
    <row r="147" ht="33" customHeight="1">
      <c r="B147" s="5" t="inlineStr">
        <is>
          <t>ACA-EP09-HU02</t>
        </is>
      </c>
      <c r="C147" s="5" t="inlineStr">
        <is>
          <t>Como administrador</t>
        </is>
      </c>
      <c r="D147" s="5" t="inlineStr">
        <is>
          <t>Necesito cambiar parámetros del sistema con una nota del cambio</t>
        </is>
      </c>
      <c r="E147" s="5" t="inlineStr">
        <is>
          <t>Con la finalidad de adaptar el comportamiento sin desplegar código</t>
        </is>
      </c>
      <c r="F147" s="21" t="n">
        <v>1</v>
      </c>
      <c r="G147" s="5" t="inlineStr">
        <is>
          <t>Cambio válido</t>
        </is>
      </c>
      <c r="H147" s="5" t="inlineStr">
        <is>
          <t>En caso que el valor sea del tipo correcto</t>
        </is>
      </c>
      <c r="I147" s="5" t="inlineStr">
        <is>
          <t>cuando guardo con una nota</t>
        </is>
      </c>
      <c r="J147" s="5" t="inlineStr">
        <is>
          <t>el sistema sube la versión del parámetro y lo audita</t>
        </is>
      </c>
    </row>
    <row r="148" ht="33" customHeight="1">
      <c r="B148" s="23" t="n"/>
      <c r="C148" s="23" t="n"/>
      <c r="D148" s="23" t="n"/>
      <c r="E148" s="23" t="n"/>
      <c r="F148" s="21" t="n">
        <v>2</v>
      </c>
      <c r="G148" s="5" t="inlineStr">
        <is>
          <t>Conflicto</t>
        </is>
      </c>
      <c r="H148" s="5" t="inlineStr">
        <is>
          <t>En caso que otra persona lo haya cambiado mientras editaba</t>
        </is>
      </c>
      <c r="I148" s="5" t="inlineStr">
        <is>
          <t>cuando guardo</t>
        </is>
      </c>
      <c r="J148" s="5" t="inlineStr">
        <is>
          <t>el sistema avisa el conflicto de versión</t>
        </is>
      </c>
    </row>
    <row r="150" ht="33" customHeight="1">
      <c r="B150" s="5" t="inlineStr">
        <is>
          <t>ACA-EP09-HU03</t>
        </is>
      </c>
      <c r="C150" s="5" t="inlineStr">
        <is>
          <t>Como administrador</t>
        </is>
      </c>
      <c r="D150" s="5" t="inlineStr">
        <is>
          <t>Necesito redactar una nueva versión de términos o privacidad</t>
        </is>
      </c>
      <c r="E150" s="5" t="inlineStr">
        <is>
          <t>Con la finalidad de mantener los documentos legales al día</t>
        </is>
      </c>
      <c r="F150" s="21" t="n">
        <v>1</v>
      </c>
      <c r="G150" s="5" t="inlineStr">
        <is>
          <t>Borrador</t>
        </is>
      </c>
      <c r="H150" s="5" t="inlineStr">
        <is>
          <t>En caso que no exista otro borrador del mismo documento</t>
        </is>
      </c>
      <c r="I150" s="5" t="inlineStr">
        <is>
          <t>cuando guardo</t>
        </is>
      </c>
      <c r="J150" s="5" t="inlineStr">
        <is>
          <t>el sistema crea la versión con número automático</t>
        </is>
      </c>
    </row>
    <row r="151" ht="33" customHeight="1">
      <c r="B151" s="23" t="n"/>
      <c r="C151" s="23" t="n"/>
      <c r="D151" s="23" t="n"/>
      <c r="E151" s="23" t="n"/>
      <c r="F151" s="21" t="n">
        <v>2</v>
      </c>
      <c r="G151" s="5" t="inlineStr">
        <is>
          <t>Cambio mayor</t>
        </is>
      </c>
      <c r="H151" s="5" t="inlineStr">
        <is>
          <t>En caso que marque «cambio mayor»</t>
        </is>
      </c>
      <c r="I151" s="5" t="inlineStr">
        <is>
          <t>cuando guardo</t>
        </is>
      </c>
      <c r="J151" s="5" t="inlineStr">
        <is>
          <t>el sistema sube la versión mayor y exige re-aceptación</t>
        </is>
      </c>
    </row>
    <row r="153" ht="33" customHeight="1">
      <c r="B153" s="5" t="inlineStr">
        <is>
          <t>ACA-EP09-HU04</t>
        </is>
      </c>
      <c r="C153" s="5" t="inlineStr">
        <is>
          <t>Como administrador</t>
        </is>
      </c>
      <c r="D153" s="5" t="inlineStr">
        <is>
          <t>Necesito publicar una versión legal</t>
        </is>
      </c>
      <c r="E153" s="5" t="inlineStr">
        <is>
          <t>Con la finalidad de que la app muestre siempre la versión vigente</t>
        </is>
      </c>
      <c r="F153" s="21" t="n">
        <v>1</v>
      </c>
      <c r="G153" s="5" t="inlineStr">
        <is>
          <t>Publicar</t>
        </is>
      </c>
      <c r="H153" s="5" t="inlineStr">
        <is>
          <t>En caso que la fecha de vigencia no sea pasada</t>
        </is>
      </c>
      <c r="I153" s="5" t="inlineStr">
        <is>
          <t>cuando publico</t>
        </is>
      </c>
      <c r="J153" s="5" t="inlineStr">
        <is>
          <t>el sistema la publica y reemplaza a la vigente</t>
        </is>
      </c>
    </row>
    <row r="154" ht="33" customHeight="1">
      <c r="B154" s="23" t="n"/>
      <c r="C154" s="23" t="n"/>
      <c r="D154" s="23" t="n"/>
      <c r="E154" s="23" t="n"/>
      <c r="F154" s="21" t="n">
        <v>2</v>
      </c>
      <c r="G154" s="5" t="inlineStr">
        <is>
          <t>Publicada inmutable</t>
        </is>
      </c>
      <c r="H154" s="5" t="inlineStr">
        <is>
          <t>En caso que la versión ya esté publicada</t>
        </is>
      </c>
      <c r="I154" s="5" t="inlineStr">
        <is>
          <t>cuando intento editarla</t>
        </is>
      </c>
      <c r="J154" s="5" t="inlineStr">
        <is>
          <t>el sistema lo impide</t>
        </is>
      </c>
    </row>
    <row r="156" ht="20" customHeight="1">
      <c r="B156" s="20" t="inlineStr">
        <is>
          <t>EP10 · Plataforma, calidad y despliegue</t>
        </is>
      </c>
      <c r="C156" s="13" t="n"/>
      <c r="D156" s="13" t="n"/>
      <c r="E156" s="13" t="n"/>
      <c r="F156" s="13" t="n"/>
      <c r="G156" s="13" t="n"/>
      <c r="H156" s="13" t="n"/>
      <c r="I156" s="13" t="n"/>
      <c r="J156" s="13" t="n"/>
    </row>
    <row r="157" ht="33" customHeight="1">
      <c r="B157" s="5" t="inlineStr">
        <is>
          <t>ACA-EP10-HU01</t>
        </is>
      </c>
      <c r="C157" s="5" t="inlineStr">
        <is>
          <t>Como equipo de desarrollo</t>
        </is>
      </c>
      <c r="D157" s="5" t="inlineStr">
        <is>
          <t>Necesito una arquitectura base con repositorio, frontend SPA y API REST</t>
        </is>
      </c>
      <c r="E157" s="5" t="inlineStr">
        <is>
          <t>Con la finalidad de construir los módulos de forma ordenada y mantenible</t>
        </is>
      </c>
      <c r="F157" s="21" t="n">
        <v>1</v>
      </c>
      <c r="G157" s="5" t="inlineStr">
        <is>
          <t>Estructura</t>
        </is>
      </c>
      <c r="H157" s="5" t="inlineStr">
        <is>
          <t>En caso que un integrante clone el repositorio</t>
        </is>
      </c>
      <c r="I157" s="5" t="inlineStr">
        <is>
          <t>cuando sigue el README</t>
        </is>
      </c>
      <c r="J157" s="5" t="inlineStr">
        <is>
          <t>el sistema levanta frontend y API en local</t>
        </is>
      </c>
    </row>
    <row r="158" ht="48" customHeight="1">
      <c r="B158" s="23" t="n"/>
      <c r="C158" s="23" t="n"/>
      <c r="D158" s="23" t="n"/>
      <c r="E158" s="23" t="n"/>
      <c r="F158" s="21" t="n">
        <v>2</v>
      </c>
      <c r="G158" s="5" t="inlineStr">
        <is>
          <t>Errores estándar</t>
        </is>
      </c>
      <c r="H158" s="5" t="inlineStr">
        <is>
          <t>En caso que la API responda un error</t>
        </is>
      </c>
      <c r="I158" s="5" t="inlineStr">
        <is>
          <t>cuando se consume</t>
        </is>
      </c>
      <c r="J158" s="5" t="inlineStr">
        <is>
          <t>el sistema devuelve el formato único {error: code, message, details, request_id}</t>
        </is>
      </c>
    </row>
    <row r="160" ht="48" customHeight="1">
      <c r="B160" s="5" t="inlineStr">
        <is>
          <t>ACA-EP10-HU02</t>
        </is>
      </c>
      <c r="C160" s="5" t="inlineStr">
        <is>
          <t>Como equipo de desarrollo</t>
        </is>
      </c>
      <c r="D160" s="5" t="inlineStr">
        <is>
          <t>Necesito el modelo de datos implementado con migraciones versionadas</t>
        </is>
      </c>
      <c r="E160" s="5" t="inlineStr">
        <is>
          <t>Con la finalidad de que la base de datos evolucione sin perder información</t>
        </is>
      </c>
      <c r="F160" s="21" t="n">
        <v>1</v>
      </c>
      <c r="G160" s="5" t="inlineStr">
        <is>
          <t>Migración</t>
        </is>
      </c>
      <c r="H160" s="5" t="inlineStr">
        <is>
          <t>En caso que la base esté vacía</t>
        </is>
      </c>
      <c r="I160" s="5" t="inlineStr">
        <is>
          <t>cuando ejecuto «alembic upgrade head»</t>
        </is>
      </c>
      <c r="J160" s="5" t="inlineStr">
        <is>
          <t>el sistema crea todas las tablas del MER</t>
        </is>
      </c>
    </row>
    <row r="161" ht="33" customHeight="1">
      <c r="B161" s="23" t="n"/>
      <c r="C161" s="23" t="n"/>
      <c r="D161" s="23" t="n"/>
      <c r="E161" s="23" t="n"/>
      <c r="F161" s="21" t="n">
        <v>2</v>
      </c>
      <c r="G161" s="5" t="inlineStr">
        <is>
          <t>Datos demo</t>
        </is>
      </c>
      <c r="H161" s="5" t="inlineStr">
        <is>
          <t>En caso que necesite probar</t>
        </is>
      </c>
      <c r="I161" s="5" t="inlineStr">
        <is>
          <t>cuando ejecuto el seed</t>
        </is>
      </c>
      <c r="J161" s="5" t="inlineStr">
        <is>
          <t>el sistema carga datos de demostración coherentes</t>
        </is>
      </c>
    </row>
    <row r="163" ht="78" customHeight="1">
      <c r="B163" s="5" t="inlineStr">
        <is>
          <t>ACA-EP10-HU03</t>
        </is>
      </c>
      <c r="C163" s="5" t="inlineStr">
        <is>
          <t>Como equipo de desarrollo</t>
        </is>
      </c>
      <c r="D163" s="5" t="inlineStr">
        <is>
          <t>Necesito un prototipo de interfaz (wireframe) validado</t>
        </is>
      </c>
      <c r="E163" s="5" t="inlineStr">
        <is>
          <t>Con la finalidad de construir pantallas coherentes y usables</t>
        </is>
      </c>
      <c r="F163" s="21" t="n">
        <v>1</v>
      </c>
      <c r="G163" s="5" t="inlineStr">
        <is>
          <t>Prototipo</t>
        </is>
      </c>
      <c r="H163" s="5" t="inlineStr">
        <is>
          <t>En caso que el equipo revise el wireframe</t>
        </is>
      </c>
      <c r="I163" s="5" t="inlineStr">
        <is>
          <t>cuando se valida con el patrocinador</t>
        </is>
      </c>
      <c r="J163" s="5" t="inlineStr">
        <is>
          <t>el sistema queda definido con paleta, navegación y componentes</t>
        </is>
      </c>
    </row>
    <row r="165" ht="48" customHeight="1">
      <c r="B165" s="5" t="inlineStr">
        <is>
          <t>ACA-EP10-HU04</t>
        </is>
      </c>
      <c r="C165" s="5" t="inlineStr">
        <is>
          <t>Como administrador</t>
        </is>
      </c>
      <c r="D165" s="5" t="inlineStr">
        <is>
          <t>Necesito la consola publicada en Render con la base de datos en Neon</t>
        </is>
      </c>
      <c r="E165" s="5" t="inlineStr">
        <is>
          <t>Con la finalidad de usarla desde cualquier lugar con disponibilidad y seguridad</t>
        </is>
      </c>
      <c r="F165" s="21" t="n">
        <v>1</v>
      </c>
      <c r="G165" s="5" t="inlineStr">
        <is>
          <t>Despliegue</t>
        </is>
      </c>
      <c r="H165" s="5" t="inlineStr">
        <is>
          <t>En caso que exista una versión estable</t>
        </is>
      </c>
      <c r="I165" s="5" t="inlineStr">
        <is>
          <t>cuando se publica</t>
        </is>
      </c>
      <c r="J165" s="5" t="inlineStr">
        <is>
          <t>el sistema queda accesible por HTTPS con frontend, API y base de datos gestionada</t>
        </is>
      </c>
    </row>
    <row r="166" ht="48" customHeight="1">
      <c r="B166" s="23" t="n"/>
      <c r="C166" s="23" t="n"/>
      <c r="D166" s="23" t="n"/>
      <c r="E166" s="23" t="n"/>
      <c r="F166" s="21" t="n">
        <v>2</v>
      </c>
      <c r="G166" s="5" t="inlineStr">
        <is>
          <t>Secretos</t>
        </is>
      </c>
      <c r="H166" s="5" t="inlineStr">
        <is>
          <t>En caso que la API necesite claves</t>
        </is>
      </c>
      <c r="I166" s="5" t="inlineStr">
        <is>
          <t>cuando arranca</t>
        </is>
      </c>
      <c r="J166" s="5" t="inlineStr">
        <is>
          <t>el sistema las lee desde variables de entorno secretas de Render y no desde el código</t>
        </is>
      </c>
    </row>
    <row r="168" ht="33" customHeight="1">
      <c r="B168" s="5" t="inlineStr">
        <is>
          <t>ACA-EP10-HU05</t>
        </is>
      </c>
      <c r="C168" s="5" t="inlineStr">
        <is>
          <t>Como equipo de desarrollo</t>
        </is>
      </c>
      <c r="D168" s="5" t="inlineStr">
        <is>
          <t>Necesito un pipeline de integración y despliegue continuo</t>
        </is>
      </c>
      <c r="E168" s="5" t="inlineStr">
        <is>
          <t>Con la finalidad de que cada cambio se pruebe y despliegue automáticamente</t>
        </is>
      </c>
      <c r="F168" s="21" t="n">
        <v>1</v>
      </c>
      <c r="G168" s="5" t="inlineStr">
        <is>
          <t>Integración</t>
        </is>
      </c>
      <c r="H168" s="5" t="inlineStr">
        <is>
          <t>En caso que se haga push a la rama principal</t>
        </is>
      </c>
      <c r="I168" s="5" t="inlineStr">
        <is>
          <t>cuando corre el pipeline</t>
        </is>
      </c>
      <c r="J168" s="5" t="inlineStr">
        <is>
          <t>el sistema ejecuta las pruebas y bloquea el despliegue si fallan</t>
        </is>
      </c>
    </row>
    <row r="169" ht="33" customHeight="1">
      <c r="B169" s="23" t="n"/>
      <c r="C169" s="23" t="n"/>
      <c r="D169" s="23" t="n"/>
      <c r="E169" s="23" t="n"/>
      <c r="F169" s="21" t="n">
        <v>2</v>
      </c>
      <c r="G169" s="5" t="inlineStr">
        <is>
          <t>Despliegue</t>
        </is>
      </c>
      <c r="H169" s="5" t="inlineStr">
        <is>
          <t>En caso que las pruebas pasen</t>
        </is>
      </c>
      <c r="I169" s="5" t="inlineStr">
        <is>
          <t>cuando termina el pipeline</t>
        </is>
      </c>
      <c r="J169" s="5" t="inlineStr">
        <is>
          <t>el sistema despliega la nueva versión</t>
        </is>
      </c>
    </row>
    <row r="171" ht="48" customHeight="1">
      <c r="B171" s="5" t="inlineStr">
        <is>
          <t>ACA-EP10-HU06</t>
        </is>
      </c>
      <c r="C171" s="5" t="inlineStr">
        <is>
          <t>Como administrador</t>
        </is>
      </c>
      <c r="D171" s="5" t="inlineStr">
        <is>
          <t>Necesito registros y alertas técnicas en Render</t>
        </is>
      </c>
      <c r="E171" s="5" t="inlineStr">
        <is>
          <t>Con la finalidad de detectar errores en producción</t>
        </is>
      </c>
      <c r="F171" s="21" t="n">
        <v>1</v>
      </c>
      <c r="G171" s="5" t="inlineStr">
        <is>
          <t>Errores</t>
        </is>
      </c>
      <c r="H171" s="5" t="inlineStr">
        <is>
          <t>En caso que la API registre un error</t>
        </is>
      </c>
      <c r="I171" s="5" t="inlineStr">
        <is>
          <t>cuando ocurre</t>
        </is>
      </c>
      <c r="J171" s="5" t="inlineStr">
        <is>
          <t>el sistema lo registra en los logs de Render con su request_id</t>
        </is>
      </c>
    </row>
    <row r="173" ht="78" customHeight="1">
      <c r="B173" s="5" t="inlineStr">
        <is>
          <t>ACA-EP10-HU07</t>
        </is>
      </c>
      <c r="C173" s="5" t="inlineStr">
        <is>
          <t>Como equipo de desarrollo</t>
        </is>
      </c>
      <c r="D173" s="5" t="inlineStr">
        <is>
          <t>Necesito pruebas de carga sobre los endpoints críticos</t>
        </is>
      </c>
      <c r="E173" s="5" t="inlineStr">
        <is>
          <t>Con la finalidad de verificar que la consola cumple los tiempos de respuesta</t>
        </is>
      </c>
      <c r="F173" s="21" t="n">
        <v>1</v>
      </c>
      <c r="G173" s="5" t="inlineStr">
        <is>
          <t>Carga</t>
        </is>
      </c>
      <c r="H173" s="5" t="inlineStr">
        <is>
          <t>En caso que simule 50 usuarios concurrentes</t>
        </is>
      </c>
      <c r="I173" s="5" t="inlineStr">
        <is>
          <t>cuando ejecuto la prueba</t>
        </is>
      </c>
      <c r="J173" s="5" t="inlineStr">
        <is>
          <t>el sistema mantiene un p95 menor a 800 ms en las consultas principales</t>
        </is>
      </c>
    </row>
    <row r="175" ht="63" customHeight="1">
      <c r="B175" s="5" t="inlineStr">
        <is>
          <t>ACA-EP10-HU08</t>
        </is>
      </c>
      <c r="C175" s="5" t="inlineStr">
        <is>
          <t>Como equipo de desarrollo</t>
        </is>
      </c>
      <c r="D175" s="5" t="inlineStr">
        <is>
          <t>Necesito pruebas de seguridad basadas en OWASP</t>
        </is>
      </c>
      <c r="E175" s="5" t="inlineStr">
        <is>
          <t>Con la finalidad de corregir vulnerabilidades antes de la entrega</t>
        </is>
      </c>
      <c r="F175" s="21" t="n">
        <v>1</v>
      </c>
      <c r="G175" s="5" t="inlineStr">
        <is>
          <t>Escaneo</t>
        </is>
      </c>
      <c r="H175" s="5" t="inlineStr">
        <is>
          <t>En caso que ejecute un escaneo de seguridad</t>
        </is>
      </c>
      <c r="I175" s="5" t="inlineStr">
        <is>
          <t>cuando termina</t>
        </is>
      </c>
      <c r="J175" s="5" t="inlineStr">
        <is>
          <t>el sistema no presenta hallazgos de riesgo alto sin corregir</t>
        </is>
      </c>
    </row>
    <row r="177" ht="93" customHeight="1">
      <c r="B177" s="5" t="inlineStr">
        <is>
          <t>ACA-EP10-HU09</t>
        </is>
      </c>
      <c r="C177" s="5" t="inlineStr">
        <is>
          <t>Como administrador</t>
        </is>
      </c>
      <c r="D177" s="5" t="inlineStr">
        <is>
          <t>Necesito un manual de usuario de la consola</t>
        </is>
      </c>
      <c r="E177" s="5" t="inlineStr">
        <is>
          <t>Con la finalidad de que el equipo de Wellq Co pueda operarla sin capacitación presencial</t>
        </is>
      </c>
      <c r="F177" s="21" t="n">
        <v>1</v>
      </c>
      <c r="G177" s="5" t="inlineStr">
        <is>
          <t>Manual</t>
        </is>
      </c>
      <c r="H177" s="5" t="inlineStr">
        <is>
          <t>En caso que un nuevo miembro del staff lo consulte</t>
        </is>
      </c>
      <c r="I177" s="5" t="inlineStr">
        <is>
          <t>cuando sigue los pasos de un módulo</t>
        </is>
      </c>
      <c r="J177" s="5" t="inlineStr">
        <is>
          <t>el sistema se puede operar sin ayuda adicional</t>
        </is>
      </c>
    </row>
    <row r="180">
      <c r="B180" s="24" t="inlineStr">
        <is>
          <t>Nota:</t>
        </is>
      </c>
    </row>
    <row r="181">
      <c r="B181" t="inlineStr">
        <is>
          <t>- Formato del ID: ACA-EPxx-HUyy (proyecto - épica - historia). Los criterios siguen el formato Dado (contexto) / Cuando (evento) / Entonces (resultado).</t>
        </is>
      </c>
    </row>
    <row r="182">
      <c r="B182" t="inlineStr">
        <is>
          <t>- Prioridad, puntos de historia, sprint y estado de cada historia están en la hoja «Product Backlog».</t>
        </is>
      </c>
    </row>
  </sheetData>
  <mergeCells count="176">
    <mergeCell ref="B34:B36"/>
    <mergeCell ref="B61:J61"/>
    <mergeCell ref="G4:J4"/>
    <mergeCell ref="B165:B166"/>
    <mergeCell ref="E26:E28"/>
    <mergeCell ref="B92:B94"/>
    <mergeCell ref="D92:D94"/>
    <mergeCell ref="D30:D32"/>
    <mergeCell ref="B157:B158"/>
    <mergeCell ref="C16:C19"/>
    <mergeCell ref="C41:C42"/>
    <mergeCell ref="E139:E141"/>
    <mergeCell ref="E157:E158"/>
    <mergeCell ref="D84:D86"/>
    <mergeCell ref="D80:D82"/>
    <mergeCell ref="E123:E125"/>
    <mergeCell ref="B25:J25"/>
    <mergeCell ref="B156:J156"/>
    <mergeCell ref="E34:E36"/>
    <mergeCell ref="B7:B10"/>
    <mergeCell ref="B134:B137"/>
    <mergeCell ref="B16:B19"/>
    <mergeCell ref="B153:B154"/>
    <mergeCell ref="D153:D154"/>
    <mergeCell ref="E30:E32"/>
    <mergeCell ref="C12:C14"/>
    <mergeCell ref="C97:C100"/>
    <mergeCell ref="E38:E39"/>
    <mergeCell ref="C47:C48"/>
    <mergeCell ref="E112:E114"/>
    <mergeCell ref="C129:C130"/>
    <mergeCell ref="C62:C64"/>
    <mergeCell ref="B6:J6"/>
    <mergeCell ref="B44:B45"/>
    <mergeCell ref="C120:C121"/>
    <mergeCell ref="E120:E121"/>
    <mergeCell ref="C54:C56"/>
    <mergeCell ref="B75:B77"/>
    <mergeCell ref="C51:C52"/>
    <mergeCell ref="C153:C154"/>
    <mergeCell ref="B79:J79"/>
    <mergeCell ref="B168:B169"/>
    <mergeCell ref="C7:C10"/>
    <mergeCell ref="D168:D169"/>
    <mergeCell ref="E7:E10"/>
    <mergeCell ref="B150:B151"/>
    <mergeCell ref="D144:D145"/>
    <mergeCell ref="B103:B105"/>
    <mergeCell ref="D103:D105"/>
    <mergeCell ref="B112:B114"/>
    <mergeCell ref="D112:D114"/>
    <mergeCell ref="C44:C45"/>
    <mergeCell ref="E44:E45"/>
    <mergeCell ref="E75:E77"/>
    <mergeCell ref="B107:B108"/>
    <mergeCell ref="D107:D108"/>
    <mergeCell ref="C144:C145"/>
    <mergeCell ref="D123:D125"/>
    <mergeCell ref="B143:J143"/>
    <mergeCell ref="D34:D36"/>
    <mergeCell ref="D165:D166"/>
    <mergeCell ref="E72:E73"/>
    <mergeCell ref="D157:D158"/>
    <mergeCell ref="C157:C158"/>
    <mergeCell ref="B96:J96"/>
    <mergeCell ref="B47:B48"/>
    <mergeCell ref="E54:E56"/>
    <mergeCell ref="E107:E108"/>
    <mergeCell ref="B38:B39"/>
    <mergeCell ref="B120:B121"/>
    <mergeCell ref="D120:D121"/>
    <mergeCell ref="B54:B56"/>
    <mergeCell ref="D54:D56"/>
    <mergeCell ref="D160:D161"/>
    <mergeCell ref="D147:D148"/>
    <mergeCell ref="D7:D10"/>
    <mergeCell ref="D134:D137"/>
    <mergeCell ref="C150:C151"/>
    <mergeCell ref="C72:C73"/>
    <mergeCell ref="C165:C166"/>
    <mergeCell ref="E116:E117"/>
    <mergeCell ref="C103:C105"/>
    <mergeCell ref="E47:E48"/>
    <mergeCell ref="B66:B67"/>
    <mergeCell ref="E103:E105"/>
    <mergeCell ref="B102:J102"/>
    <mergeCell ref="B41:B42"/>
    <mergeCell ref="C160:C161"/>
    <mergeCell ref="E129:E130"/>
    <mergeCell ref="E160:E161"/>
    <mergeCell ref="C147:C148"/>
    <mergeCell ref="D44:D45"/>
    <mergeCell ref="E147:E148"/>
    <mergeCell ref="D75:D77"/>
    <mergeCell ref="C21:C23"/>
    <mergeCell ref="B84:B86"/>
    <mergeCell ref="B123:B125"/>
    <mergeCell ref="D150:D151"/>
    <mergeCell ref="D72:D73"/>
    <mergeCell ref="D47:D48"/>
    <mergeCell ref="B62:B64"/>
    <mergeCell ref="C66:C67"/>
    <mergeCell ref="B12:B14"/>
    <mergeCell ref="B21:B23"/>
    <mergeCell ref="D21:D23"/>
    <mergeCell ref="E16:E19"/>
    <mergeCell ref="E41:E42"/>
    <mergeCell ref="C69:C70"/>
    <mergeCell ref="D38:D39"/>
    <mergeCell ref="C84:C86"/>
    <mergeCell ref="E84:E86"/>
    <mergeCell ref="B88:B90"/>
    <mergeCell ref="B119:J119"/>
    <mergeCell ref="B58:B59"/>
    <mergeCell ref="C168:C169"/>
    <mergeCell ref="B139:B141"/>
    <mergeCell ref="E62:E64"/>
    <mergeCell ref="E12:E14"/>
    <mergeCell ref="B116:B117"/>
    <mergeCell ref="E21:E23"/>
    <mergeCell ref="B69:B70"/>
    <mergeCell ref="D116:D117"/>
    <mergeCell ref="C134:C137"/>
    <mergeCell ref="C4:F4"/>
    <mergeCell ref="C88:C90"/>
    <mergeCell ref="C26:C28"/>
    <mergeCell ref="E66:E67"/>
    <mergeCell ref="E88:E90"/>
    <mergeCell ref="C139:C141"/>
    <mergeCell ref="B160:B161"/>
    <mergeCell ref="E97:E100"/>
    <mergeCell ref="C107:C108"/>
    <mergeCell ref="C58:C59"/>
    <mergeCell ref="E58:E59"/>
    <mergeCell ref="C116:C117"/>
    <mergeCell ref="B144:B145"/>
    <mergeCell ref="B97:B100"/>
    <mergeCell ref="E150:E151"/>
    <mergeCell ref="E51:E52"/>
    <mergeCell ref="E165:E166"/>
    <mergeCell ref="E69:E70"/>
    <mergeCell ref="B80:B82"/>
    <mergeCell ref="B26:B28"/>
    <mergeCell ref="D66:D67"/>
    <mergeCell ref="D26:D28"/>
    <mergeCell ref="C34:C36"/>
    <mergeCell ref="D16:D19"/>
    <mergeCell ref="D41:D42"/>
    <mergeCell ref="C92:C94"/>
    <mergeCell ref="C30:C32"/>
    <mergeCell ref="E92:E94"/>
    <mergeCell ref="C112:C114"/>
    <mergeCell ref="E144:E145"/>
    <mergeCell ref="C38:C39"/>
    <mergeCell ref="C123:C125"/>
    <mergeCell ref="B72:B73"/>
    <mergeCell ref="E80:E82"/>
    <mergeCell ref="D62:D64"/>
    <mergeCell ref="D12:D14"/>
    <mergeCell ref="B30:B32"/>
    <mergeCell ref="E153:E154"/>
    <mergeCell ref="D88:D90"/>
    <mergeCell ref="B147:B148"/>
    <mergeCell ref="B50:J50"/>
    <mergeCell ref="D97:D100"/>
    <mergeCell ref="B129:B130"/>
    <mergeCell ref="D58:D59"/>
    <mergeCell ref="E168:E169"/>
    <mergeCell ref="D129:D130"/>
    <mergeCell ref="D139:D141"/>
    <mergeCell ref="B51:B52"/>
    <mergeCell ref="C75:C77"/>
    <mergeCell ref="D51:D52"/>
    <mergeCell ref="D69:D70"/>
    <mergeCell ref="E134:E137"/>
    <mergeCell ref="C80:C82"/>
  </mergeCells>
  <pageMargins left="0.7086614173228347" right="0.7086614173228347" top="0.7480314960629921" bottom="0.7480314960629921" header="0.3149606299212598" footer="0.3149606299212598"/>
  <pageSetup orientation="landscape" paperSize="9" scale="70" fitToHeight="0" fitToWidth="1"/>
</worksheet>
</file>

<file path=xl/worksheets/sheet2.xml><?xml version="1.0" encoding="utf-8"?>
<worksheet xmlns="http://schemas.openxmlformats.org/spreadsheetml/2006/main">
  <sheetPr>
    <outlinePr summaryBelow="1" summaryRight="1"/>
    <pageSetUpPr/>
  </sheetPr>
  <dimension ref="B1:C13"/>
  <sheetViews>
    <sheetView view="pageBreakPreview" topLeftCell="A6" zoomScaleNormal="100" zoomScaleSheetLayoutView="100" workbookViewId="0">
      <selection activeCell="B2" sqref="B2"/>
    </sheetView>
  </sheetViews>
  <sheetFormatPr baseColWidth="10" defaultColWidth="11.453125" defaultRowHeight="14.5"/>
  <cols>
    <col width="1.54296875" customWidth="1" style="2" min="1" max="1"/>
    <col width="27.6328125" customWidth="1" style="2" min="2" max="2"/>
    <col width="86" customWidth="1" style="2" min="3" max="3"/>
    <col width="2.90625" customWidth="1" style="2" min="4" max="4"/>
    <col width="11.453125" customWidth="1" style="2" min="5" max="16384"/>
  </cols>
  <sheetData>
    <row r="1" ht="31" customHeight="1">
      <c r="B1" s="12" t="inlineStr">
        <is>
          <t>Historias de usuario y criterios de aceptación: Instructivo</t>
        </is>
      </c>
    </row>
    <row r="2" ht="21" customHeight="1">
      <c r="B2" s="4" t="n"/>
    </row>
    <row r="4">
      <c r="B4" s="1" t="inlineStr">
        <is>
          <t>Columna</t>
        </is>
      </c>
      <c r="C4" s="1" t="inlineStr">
        <is>
          <t>Instrucciones</t>
        </is>
      </c>
    </row>
    <row r="5" ht="29" customHeight="1">
      <c r="B5" s="5" t="inlineStr">
        <is>
          <t>Identificador (ID) de la historia</t>
        </is>
      </c>
      <c r="C5" s="5" t="inlineStr">
        <is>
          <t>Código que identifica unívocamente a la historia en el proyecto que se esté desarrollando. El formato debe ser elegido por el equipo.</t>
        </is>
      </c>
    </row>
    <row r="6" ht="130.5" customHeight="1">
      <c r="B6" s="5" t="inlineStr">
        <is>
          <t>Rol</t>
        </is>
      </c>
      <c r="C6" s="5" t="inlineStr">
        <is>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is>
      </c>
    </row>
    <row r="7" ht="101.5" customHeight="1">
      <c r="B7" s="5" t="inlineStr">
        <is>
          <t>Característica / Funcionalidad</t>
        </is>
      </c>
      <c r="C7" s="5" t="inlineStr">
        <is>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is>
      </c>
    </row>
    <row r="8" ht="43.5" customHeight="1">
      <c r="B8" s="5" t="inlineStr">
        <is>
          <t>Razón / Resultado</t>
        </is>
      </c>
      <c r="C8" s="5" t="inlineStr">
        <is>
          <t>Lo que el rol necesita lograr al ejecutar la acción. Este es el resultado de ejecutar la acción desde el punto de vista del rol. Este punto puede ser opcional, pues la historia puede documentarse sólo con la definición del rol y la acción (sin definir la consecuencia).</t>
        </is>
      </c>
    </row>
    <row r="9">
      <c r="B9" s="5" t="inlineStr">
        <is>
          <t>Número (#) de escenario</t>
        </is>
      </c>
      <c r="C9" s="5" t="inlineStr">
        <is>
          <t>Número (ejemplo 1, 2, 3 ó 4), que identifica al escenario asociado a la historia.</t>
        </is>
      </c>
    </row>
    <row r="10" ht="43.5" customHeight="1">
      <c r="B10" s="5" t="inlineStr">
        <is>
          <t>Criterio de aceptación (título)</t>
        </is>
      </c>
      <c r="C10" s="5" t="inlineStr">
        <is>
          <t>Describe el contexto del escenario que define un comportamiento. Por ejemplo, si se toma el ejemplo de búsquedas de productos por categoría, un posible ejemplo pudiera ser: Categoría sin productos asociados.</t>
        </is>
      </c>
    </row>
    <row r="11">
      <c r="B11" s="5" t="inlineStr">
        <is>
          <t>Contexto</t>
        </is>
      </c>
      <c r="C11" s="5" t="inlineStr">
        <is>
          <t>Proporciona mayor descripción sobre las condiciones que desencadenan el escenario.</t>
        </is>
      </c>
    </row>
    <row r="12">
      <c r="B12" s="5" t="inlineStr">
        <is>
          <t>Evento</t>
        </is>
      </c>
      <c r="C12" s="5" t="inlineStr">
        <is>
          <t>Representa la acción que el usuario ejecuta, en el contexto definido para el escenario.</t>
        </is>
      </c>
    </row>
    <row r="13" ht="29" customHeight="1">
      <c r="B13" s="5" t="inlineStr">
        <is>
          <t>Resultado / Comportamiento esperado</t>
        </is>
      </c>
      <c r="C13" s="5" t="inlineStr">
        <is>
          <t>Dado el contexto y la acción ejecutada por el usuario, la consecuencia es el comportamiento del sistema en esa situación.</t>
        </is>
      </c>
    </row>
  </sheetData>
  <pageMargins left="0.7" right="0.7" top="0.75" bottom="0.75" header="0.3" footer="0.3"/>
  <pageSetup orientation="portrait" paperSize="9" scale="68"/>
</worksheet>
</file>

<file path=xl/worksheets/sheet3.xml><?xml version="1.0" encoding="utf-8"?>
<worksheet xmlns:r="http://schemas.openxmlformats.org/officeDocument/2006/relationships" xmlns="http://schemas.openxmlformats.org/spreadsheetml/2006/main">
  <sheetPr>
    <outlinePr summaryBelow="1" summaryRight="1"/>
    <pageSetUpPr fitToPage="1"/>
  </sheetPr>
  <dimension ref="A1:A1"/>
  <sheetViews>
    <sheetView tabSelected="1" workbookViewId="0">
      <selection activeCell="K17" sqref="K17"/>
    </sheetView>
  </sheetViews>
  <sheetFormatPr baseColWidth="10" defaultRowHeight="14.5"/>
  <sheetData/>
  <pageMargins left="0.25" right="0.25" top="0.75" bottom="0.75" header="0.3" footer="0.3"/>
  <pageSetup orientation="landscape" scale="87"/>
  <drawing r:id="rIdImg1"/>
</worksheet>
</file>

<file path=xl/worksheets/sheet4.xml><?xml version="1.0" encoding="utf-8"?>
<worksheet xmlns="http://schemas.openxmlformats.org/spreadsheetml/2006/main">
  <sheetPr>
    <outlinePr summaryBelow="1" summaryRight="1"/>
    <pageSetUpPr fitToPage="1"/>
  </sheetPr>
  <dimension ref="B1:I5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5" customWidth="1" min="1" max="1"/>
    <col width="17" customWidth="1" min="2" max="2"/>
    <col width="24" customWidth="1" min="3" max="3"/>
    <col width="70" customWidth="1" min="4" max="4"/>
    <col width="8" customWidth="1" min="5" max="5"/>
    <col width="13" customWidth="1" min="6" max="6"/>
    <col width="9" customWidth="1" min="7" max="7"/>
    <col width="10" customWidth="1" min="8" max="8"/>
    <col width="20" customWidth="1" min="9" max="9"/>
  </cols>
  <sheetData>
    <row r="1">
      <c r="B1" s="25" t="inlineStr">
        <is>
          <t>Product Backlog</t>
        </is>
      </c>
    </row>
    <row r="2">
      <c r="B2" s="26" t="inlineStr">
        <is>
          <t>AgeCare Administración (ACA) · 10/10/2026</t>
        </is>
      </c>
    </row>
    <row r="4" ht="32" customHeight="1">
      <c r="B4" s="13" t="inlineStr">
        <is>
          <t>ID</t>
        </is>
      </c>
      <c r="C4" s="13" t="inlineStr">
        <is>
          <t>Épica</t>
        </is>
      </c>
      <c r="D4" s="13" t="inlineStr">
        <is>
          <t>Historia de usuario</t>
        </is>
      </c>
      <c r="E4" s="13" t="inlineStr">
        <is>
          <t>CU</t>
        </is>
      </c>
      <c r="F4" s="13" t="inlineStr">
        <is>
          <t>Prioridad (MoSCoW)</t>
        </is>
      </c>
      <c r="G4" s="13" t="inlineStr">
        <is>
          <t>Puntos</t>
        </is>
      </c>
      <c r="H4" s="13" t="inlineStr">
        <is>
          <t>Sprint</t>
        </is>
      </c>
      <c r="I4" s="13" t="inlineStr">
        <is>
          <t>Estado</t>
        </is>
      </c>
    </row>
    <row r="5" ht="48" customHeight="1">
      <c r="B5" s="5" t="inlineStr">
        <is>
          <t>ACA-EP01-HU01</t>
        </is>
      </c>
      <c r="C5" s="5" t="inlineStr">
        <is>
          <t>EP01 · Acceso y seguridad</t>
        </is>
      </c>
      <c r="D5" s="5" t="inlineStr">
        <is>
          <t>Como miembro del staff, necesito iniciar sesión con mi correo corporativo y contraseña, con la finalidad de acceder solo a los módulos que mi rol permite.</t>
        </is>
      </c>
      <c r="E5" s="7" t="inlineStr">
        <is>
          <t>CU01</t>
        </is>
      </c>
      <c r="F5" s="7" t="inlineStr">
        <is>
          <t>Must</t>
        </is>
      </c>
      <c r="G5" s="7" t="n">
        <v>5</v>
      </c>
      <c r="H5" s="7" t="inlineStr">
        <is>
          <t>Sprint 2</t>
        </is>
      </c>
      <c r="I5" s="5" t="inlineStr">
        <is>
          <t>Terminada</t>
        </is>
      </c>
    </row>
    <row r="6" ht="48" customHeight="1">
      <c r="B6" s="5" t="inlineStr">
        <is>
          <t>ACA-EP01-HU02</t>
        </is>
      </c>
      <c r="C6" s="5" t="inlineStr">
        <is>
          <t>EP01 · Acceso y seguridad</t>
        </is>
      </c>
      <c r="D6" s="5" t="inlineStr">
        <is>
          <t>Como administrador, necesito activar y usar un segundo factor (código TOTP) en mi cuenta, con la finalidad de proteger el acceso a funciones críticas aunque se filtre mi contraseña.</t>
        </is>
      </c>
      <c r="E6" s="7" t="inlineStr">
        <is>
          <t>CU02</t>
        </is>
      </c>
      <c r="F6" s="7" t="inlineStr">
        <is>
          <t>Must</t>
        </is>
      </c>
      <c r="G6" s="7" t="n">
        <v>5</v>
      </c>
      <c r="H6" s="7" t="inlineStr">
        <is>
          <t>Sprint 2</t>
        </is>
      </c>
      <c r="I6" s="5" t="inlineStr">
        <is>
          <t>Terminada</t>
        </is>
      </c>
    </row>
    <row r="7" ht="48" customHeight="1">
      <c r="B7" s="5" t="inlineStr">
        <is>
          <t>ACA-EP01-HU03</t>
        </is>
      </c>
      <c r="C7" s="5" t="inlineStr">
        <is>
          <t>EP01 · Acceso y seguridad</t>
        </is>
      </c>
      <c r="D7" s="5" t="inlineStr">
        <is>
          <t>Como administrador, necesito crear cuentas del staff, asignar roles y desactivarlas, con la finalidad de controlar quién accede a la consola y con qué permisos.</t>
        </is>
      </c>
      <c r="E7" s="7" t="inlineStr">
        <is>
          <t>CU03</t>
        </is>
      </c>
      <c r="F7" s="7" t="inlineStr">
        <is>
          <t>Must</t>
        </is>
      </c>
      <c r="G7" s="7" t="n">
        <v>8</v>
      </c>
      <c r="H7" s="7" t="inlineStr">
        <is>
          <t>Sprint 2</t>
        </is>
      </c>
      <c r="I7" s="5" t="inlineStr">
        <is>
          <t>Terminada</t>
        </is>
      </c>
    </row>
    <row r="8" ht="48" customHeight="1">
      <c r="B8" s="5" t="inlineStr">
        <is>
          <t>ACA-EP01-HU04</t>
        </is>
      </c>
      <c r="C8" s="5" t="inlineStr">
        <is>
          <t>EP01 · Acceso y seguridad</t>
        </is>
      </c>
      <c r="D8" s="5" t="inlineStr">
        <is>
          <t>Como administrador, necesito consultar la bitácora de auditoría con filtros, con la finalidad de saber quién hizo qué cambio y cuándo, como respaldo ante incidentes.</t>
        </is>
      </c>
      <c r="E8" s="7" t="inlineStr">
        <is>
          <t>CU04</t>
        </is>
      </c>
      <c r="F8" s="7" t="inlineStr">
        <is>
          <t>Must</t>
        </is>
      </c>
      <c r="G8" s="7" t="n">
        <v>3</v>
      </c>
      <c r="H8" s="7" t="inlineStr">
        <is>
          <t>Sprint 2</t>
        </is>
      </c>
      <c r="I8" s="5" t="inlineStr">
        <is>
          <t>Terminada</t>
        </is>
      </c>
    </row>
    <row r="9" ht="48" customHeight="1">
      <c r="B9" s="5" t="inlineStr">
        <is>
          <t>ACA-EP02-HU01</t>
        </is>
      </c>
      <c r="C9" s="5" t="inlineStr">
        <is>
          <t>EP02 · Soporte operativo</t>
        </is>
      </c>
      <c r="D9" s="5" t="inlineStr">
        <is>
          <t>Como agente de soporte, necesito ver la cola de tickets con filtros, búsqueda y orden, con la finalidad de priorizar lo urgente y no dejar tickets sin atender.</t>
        </is>
      </c>
      <c r="E9" s="7" t="inlineStr">
        <is>
          <t>CU35</t>
        </is>
      </c>
      <c r="F9" s="7" t="inlineStr">
        <is>
          <t>Must</t>
        </is>
      </c>
      <c r="G9" s="7" t="n">
        <v>5</v>
      </c>
      <c r="H9" s="7" t="inlineStr">
        <is>
          <t>Sprint 2</t>
        </is>
      </c>
      <c r="I9" s="5" t="inlineStr">
        <is>
          <t>Terminada</t>
        </is>
      </c>
    </row>
    <row r="10" ht="48" customHeight="1">
      <c r="B10" s="5" t="inlineStr">
        <is>
          <t>ACA-EP02-HU02</t>
        </is>
      </c>
      <c r="C10" s="5" t="inlineStr">
        <is>
          <t>EP02 · Soporte operativo</t>
        </is>
      </c>
      <c r="D10" s="5" t="inlineStr">
        <is>
          <t>Como agente de soporte, necesito registrar un ticket recibido por correo o teléfono, con la finalidad de que toda solicitud quede trazada en un solo lugar.</t>
        </is>
      </c>
      <c r="E10" s="7" t="inlineStr">
        <is>
          <t>CU36</t>
        </is>
      </c>
      <c r="F10" s="7" t="inlineStr">
        <is>
          <t>Must</t>
        </is>
      </c>
      <c r="G10" s="7" t="n">
        <v>3</v>
      </c>
      <c r="H10" s="7" t="inlineStr">
        <is>
          <t>Sprint 2</t>
        </is>
      </c>
      <c r="I10" s="5" t="inlineStr">
        <is>
          <t>Terminada</t>
        </is>
      </c>
    </row>
    <row r="11" ht="48" customHeight="1">
      <c r="B11" s="5" t="inlineStr">
        <is>
          <t>ACA-EP02-HU03</t>
        </is>
      </c>
      <c r="C11" s="5" t="inlineStr">
        <is>
          <t>EP02 · Soporte operativo</t>
        </is>
      </c>
      <c r="D11" s="5" t="inlineStr">
        <is>
          <t>Como agente de soporte, necesito tomar un ticket y cambiar su estado, prioridad y categoría, con la finalidad de gestionar su ciclo de vida hasta resolverlo.</t>
        </is>
      </c>
      <c r="E11" s="7" t="inlineStr">
        <is>
          <t>CU37</t>
        </is>
      </c>
      <c r="F11" s="7" t="inlineStr">
        <is>
          <t>Must</t>
        </is>
      </c>
      <c r="G11" s="7" t="n">
        <v>5</v>
      </c>
      <c r="H11" s="7" t="inlineStr">
        <is>
          <t>Sprint 2</t>
        </is>
      </c>
      <c r="I11" s="5" t="inlineStr">
        <is>
          <t>Terminada</t>
        </is>
      </c>
    </row>
    <row r="12" ht="48" customHeight="1">
      <c r="B12" s="5" t="inlineStr">
        <is>
          <t>ACA-EP02-HU04</t>
        </is>
      </c>
      <c r="C12" s="5" t="inlineStr">
        <is>
          <t>EP02 · Soporte operativo</t>
        </is>
      </c>
      <c r="D12" s="5" t="inlineStr">
        <is>
          <t>Como agente de soporte, necesito ver el contexto del solicitante dentro del ticket, con la finalidad de resolver sin tener que preguntar datos que ya existen.</t>
        </is>
      </c>
      <c r="E12" s="7" t="inlineStr">
        <is>
          <t>CU38</t>
        </is>
      </c>
      <c r="F12" s="7" t="inlineStr">
        <is>
          <t>Should</t>
        </is>
      </c>
      <c r="G12" s="7" t="n">
        <v>2</v>
      </c>
      <c r="H12" s="7" t="inlineStr">
        <is>
          <t>Sprint 2</t>
        </is>
      </c>
      <c r="I12" s="5" t="inlineStr">
        <is>
          <t>Terminada</t>
        </is>
      </c>
    </row>
    <row r="13" ht="48" customHeight="1">
      <c r="B13" s="5" t="inlineStr">
        <is>
          <t>ACA-EP02-HU05</t>
        </is>
      </c>
      <c r="C13" s="5" t="inlineStr">
        <is>
          <t>EP02 · Soporte operativo</t>
        </is>
      </c>
      <c r="D13" s="5" t="inlineStr">
        <is>
          <t>Como agente de soporte, necesito responder al usuario o dejar notas internas en el ticket, con la finalidad de comunicar avances y compartir información con el equipo.</t>
        </is>
      </c>
      <c r="E13" s="7" t="inlineStr">
        <is>
          <t>CU39</t>
        </is>
      </c>
      <c r="F13" s="7" t="inlineStr">
        <is>
          <t>Must</t>
        </is>
      </c>
      <c r="G13" s="7" t="n">
        <v>3</v>
      </c>
      <c r="H13" s="7" t="inlineStr">
        <is>
          <t>Sprint 2</t>
        </is>
      </c>
      <c r="I13" s="5" t="inlineStr">
        <is>
          <t>Terminada</t>
        </is>
      </c>
    </row>
    <row r="14" ht="48" customHeight="1">
      <c r="B14" s="5" t="inlineStr">
        <is>
          <t>ACA-EP02-HU06</t>
        </is>
      </c>
      <c r="C14" s="5" t="inlineStr">
        <is>
          <t>EP02 · Soporte operativo</t>
        </is>
      </c>
      <c r="D14" s="5" t="inlineStr">
        <is>
          <t>Como agente de soporte, necesito que al resolver un ticket se envíe una encuesta de satisfacción, con la finalidad de medir la calidad del servicio (CSAT).</t>
        </is>
      </c>
      <c r="E14" s="7" t="inlineStr">
        <is>
          <t>CU40</t>
        </is>
      </c>
      <c r="F14" s="7" t="inlineStr">
        <is>
          <t>Should</t>
        </is>
      </c>
      <c r="G14" s="7" t="n">
        <v>2</v>
      </c>
      <c r="H14" s="7" t="inlineStr">
        <is>
          <t>Sprint 2</t>
        </is>
      </c>
      <c r="I14" s="5" t="inlineStr">
        <is>
          <t>Terminada</t>
        </is>
      </c>
    </row>
    <row r="15" ht="48" customHeight="1">
      <c r="B15" s="5" t="inlineStr">
        <is>
          <t>ACA-EP02-HU07</t>
        </is>
      </c>
      <c r="C15" s="5" t="inlineStr">
        <is>
          <t>EP02 · Soporte operativo</t>
        </is>
      </c>
      <c r="D15" s="5" t="inlineStr">
        <is>
          <t>Como agente de soporte, necesito ver los indicadores de soporte, con la finalidad de saber si cumplimos el objetivo de primera respuesta y la satisfacción de los usuarios.</t>
        </is>
      </c>
      <c r="E15" s="7" t="inlineStr">
        <is>
          <t>CU25</t>
        </is>
      </c>
      <c r="F15" s="7" t="inlineStr">
        <is>
          <t>Must</t>
        </is>
      </c>
      <c r="G15" s="7" t="n">
        <v>3</v>
      </c>
      <c r="H15" s="7" t="inlineStr">
        <is>
          <t>Sprint 2</t>
        </is>
      </c>
      <c r="I15" s="5" t="inlineStr">
        <is>
          <t>Terminada</t>
        </is>
      </c>
    </row>
    <row r="16" ht="48" customHeight="1">
      <c r="B16" s="5" t="inlineStr">
        <is>
          <t>ACA-EP03-HU01</t>
        </is>
      </c>
      <c r="C16" s="5" t="inlineStr">
        <is>
          <t>EP03 · Usuarios de la app</t>
        </is>
      </c>
      <c r="D16" s="5" t="inlineStr">
        <is>
          <t>Como agente de soporte, necesito buscar usuarios de la app por nombre, correo o paciente, con la finalidad de encontrar rápido a quien necesita ayuda.</t>
        </is>
      </c>
      <c r="E16" s="7" t="inlineStr">
        <is>
          <t>CU32</t>
        </is>
      </c>
      <c r="F16" s="7" t="inlineStr">
        <is>
          <t>Must</t>
        </is>
      </c>
      <c r="G16" s="7" t="n">
        <v>3</v>
      </c>
      <c r="H16" s="7" t="inlineStr">
        <is>
          <t>Sprint 3</t>
        </is>
      </c>
      <c r="I16" s="5" t="inlineStr">
        <is>
          <t>Terminada</t>
        </is>
      </c>
    </row>
    <row r="17" ht="48" customHeight="1">
      <c r="B17" s="5" t="inlineStr">
        <is>
          <t>ACA-EP03-HU02</t>
        </is>
      </c>
      <c r="C17" s="5" t="inlineStr">
        <is>
          <t>EP03 · Usuarios de la app</t>
        </is>
      </c>
      <c r="D17" s="5" t="inlineStr">
        <is>
          <t>Como agente de soporte, necesito desactivar o reactivar la cuenta de un usuario indicando el motivo, con la finalidad de responder a solicitudes del titular o a usos indebidos sin borrar datos.</t>
        </is>
      </c>
      <c r="E17" s="7" t="inlineStr">
        <is>
          <t>CU33</t>
        </is>
      </c>
      <c r="F17" s="7" t="inlineStr">
        <is>
          <t>Must</t>
        </is>
      </c>
      <c r="G17" s="7" t="n">
        <v>3</v>
      </c>
      <c r="H17" s="7" t="inlineStr">
        <is>
          <t>Sprint 3</t>
        </is>
      </c>
      <c r="I17" s="5" t="inlineStr">
        <is>
          <t>Terminada</t>
        </is>
      </c>
    </row>
    <row r="18" ht="48" customHeight="1">
      <c r="B18" s="5" t="inlineStr">
        <is>
          <t>ACA-EP03-HU03</t>
        </is>
      </c>
      <c r="C18" s="5" t="inlineStr">
        <is>
          <t>EP03 · Usuarios de la app</t>
        </is>
      </c>
      <c r="D18" s="5" t="inlineStr">
        <is>
          <t>Como agente de soporte, necesito reenviar la invitación a un círculo de cuidado, con la finalidad de que el familiar o la cuidadora pueda unirse si no recibió el correo.</t>
        </is>
      </c>
      <c r="E18" s="7" t="inlineStr">
        <is>
          <t>CU34</t>
        </is>
      </c>
      <c r="F18" s="7" t="inlineStr">
        <is>
          <t>Should</t>
        </is>
      </c>
      <c r="G18" s="7" t="n">
        <v>2</v>
      </c>
      <c r="H18" s="7" t="inlineStr">
        <is>
          <t>Sprint 3</t>
        </is>
      </c>
      <c r="I18" s="5" t="inlineStr">
        <is>
          <t>Terminada</t>
        </is>
      </c>
    </row>
    <row r="19" ht="48" customHeight="1">
      <c r="B19" s="5" t="inlineStr">
        <is>
          <t>ACA-EP04-HU01</t>
        </is>
      </c>
      <c r="C19" s="5" t="inlineStr">
        <is>
          <t>EP04 · Monitoreo operativo e incidentes</t>
        </is>
      </c>
      <c r="D19" s="5" t="inlineStr">
        <is>
          <t>Como administrador, necesito que un monitor verifique periódicamente cada componente de la plataforma, con la finalidad de detectar degradaciones antes de que afecten a los pacientes.</t>
        </is>
      </c>
      <c r="E19" s="7" t="inlineStr">
        <is>
          <t>CU27</t>
        </is>
      </c>
      <c r="F19" s="7" t="inlineStr">
        <is>
          <t>Must</t>
        </is>
      </c>
      <c r="G19" s="7" t="n">
        <v>8</v>
      </c>
      <c r="H19" s="7" t="inlineStr">
        <is>
          <t>Sprint 3</t>
        </is>
      </c>
      <c r="I19" s="5" t="inlineStr">
        <is>
          <t>Terminada</t>
        </is>
      </c>
    </row>
    <row r="20" ht="48" customHeight="1">
      <c r="B20" s="5" t="inlineStr">
        <is>
          <t>ACA-EP04-HU02</t>
        </is>
      </c>
      <c r="C20" s="5" t="inlineStr">
        <is>
          <t>EP04 · Monitoreo operativo e incidentes</t>
        </is>
      </c>
      <c r="D20" s="5" t="inlineStr">
        <is>
          <t>Como administrador, necesito que se abra un incidente automáticamente cuando un componente cae, con la finalidad de reaccionar en menos de 5 minutos (objetivo OE2).</t>
        </is>
      </c>
      <c r="E20" s="7" t="inlineStr">
        <is>
          <t>CU28</t>
        </is>
      </c>
      <c r="F20" s="7" t="inlineStr">
        <is>
          <t>Must</t>
        </is>
      </c>
      <c r="G20" s="7" t="n">
        <v>3</v>
      </c>
      <c r="H20" s="7" t="inlineStr">
        <is>
          <t>Sprint 3</t>
        </is>
      </c>
      <c r="I20" s="5" t="inlineStr">
        <is>
          <t>Terminada</t>
        </is>
      </c>
    </row>
    <row r="21" ht="48" customHeight="1">
      <c r="B21" s="5" t="inlineStr">
        <is>
          <t>ACA-EP04-HU03</t>
        </is>
      </c>
      <c r="C21" s="5" t="inlineStr">
        <is>
          <t>EP04 · Monitoreo operativo e incidentes</t>
        </is>
      </c>
      <c r="D21" s="5" t="inlineStr">
        <is>
          <t>Como agente de soporte, necesito ver el estado operativo general, por componente y por proceso crítico, con la finalidad de informar a los usuarios con datos y priorizar el trabajo.</t>
        </is>
      </c>
      <c r="E21" s="7" t="inlineStr">
        <is>
          <t>CU29</t>
        </is>
      </c>
      <c r="F21" s="7" t="inlineStr">
        <is>
          <t>Must</t>
        </is>
      </c>
      <c r="G21" s="7" t="n">
        <v>5</v>
      </c>
      <c r="H21" s="7" t="inlineStr">
        <is>
          <t>Sprint 3</t>
        </is>
      </c>
      <c r="I21" s="5" t="inlineStr">
        <is>
          <t>Terminada</t>
        </is>
      </c>
    </row>
    <row r="22" ht="48" customHeight="1">
      <c r="B22" s="5" t="inlineStr">
        <is>
          <t>ACA-EP04-HU04</t>
        </is>
      </c>
      <c r="C22" s="5" t="inlineStr">
        <is>
          <t>EP04 · Monitoreo operativo e incidentes</t>
        </is>
      </c>
      <c r="D22" s="5" t="inlineStr">
        <is>
          <t>Como agente de soporte, necesito monitorear las alertas de pacientes emitidas por la plataforma, con la finalidad de detectar alertas sin atender y tiempos de atención altos.</t>
        </is>
      </c>
      <c r="E22" s="7" t="inlineStr">
        <is>
          <t>CU30</t>
        </is>
      </c>
      <c r="F22" s="7" t="inlineStr">
        <is>
          <t>Should</t>
        </is>
      </c>
      <c r="G22" s="7" t="n">
        <v>3</v>
      </c>
      <c r="H22" s="7" t="inlineStr">
        <is>
          <t>Sprint 3</t>
        </is>
      </c>
      <c r="I22" s="5" t="inlineStr">
        <is>
          <t>Terminada</t>
        </is>
      </c>
    </row>
    <row r="23" ht="48" customHeight="1">
      <c r="B23" s="5" t="inlineStr">
        <is>
          <t>ACA-EP04-HU05</t>
        </is>
      </c>
      <c r="C23" s="5" t="inlineStr">
        <is>
          <t>EP04 · Monitoreo operativo e incidentes</t>
        </is>
      </c>
      <c r="D23" s="5" t="inlineStr">
        <is>
          <t>Como agente de soporte, necesito registrar, actualizar y resolver incidentes y mantenimientos, con la finalidad de coordinar la respuesta y dejar registro de la solución.</t>
        </is>
      </c>
      <c r="E23" s="7" t="inlineStr">
        <is>
          <t>CU31</t>
        </is>
      </c>
      <c r="F23" s="7" t="inlineStr">
        <is>
          <t>Must</t>
        </is>
      </c>
      <c r="G23" s="7" t="n">
        <v>5</v>
      </c>
      <c r="H23" s="7" t="inlineStr">
        <is>
          <t>Sprint 3</t>
        </is>
      </c>
      <c r="I23" s="5" t="inlineStr">
        <is>
          <t>Terminada</t>
        </is>
      </c>
    </row>
    <row r="24" ht="48" customHeight="1">
      <c r="B24" s="5" t="inlineStr">
        <is>
          <t>ACA-EP05-HU01</t>
        </is>
      </c>
      <c r="C24" s="5" t="inlineStr">
        <is>
          <t>EP05 · Contenidos y marketplace</t>
        </is>
      </c>
      <c r="D24" s="5" t="inlineStr">
        <is>
          <t>Como editor de contenido, necesito crear y editar chistes y noticias como borrador, con la finalidad de preparar contenido de calidad para el adulto mayor.</t>
        </is>
      </c>
      <c r="E24" s="7" t="inlineStr">
        <is>
          <t>CU17</t>
        </is>
      </c>
      <c r="F24" s="7" t="inlineStr">
        <is>
          <t>Should</t>
        </is>
      </c>
      <c r="G24" s="7" t="n">
        <v>3</v>
      </c>
      <c r="H24" s="7" t="inlineStr">
        <is>
          <t>Sprint 3</t>
        </is>
      </c>
      <c r="I24" s="5" t="inlineStr">
        <is>
          <t>Terminada</t>
        </is>
      </c>
    </row>
    <row r="25" ht="48" customHeight="1">
      <c r="B25" s="5" t="inlineStr">
        <is>
          <t>ACA-EP05-HU02</t>
        </is>
      </c>
      <c r="C25" s="5" t="inlineStr">
        <is>
          <t>EP05 · Contenidos y marketplace</t>
        </is>
      </c>
      <c r="D25" s="5" t="inlineStr">
        <is>
          <t>Como editor de contenido, necesito publicar contenido ahora o programarlo para una fecha, con la finalidad de mantener el feed actualizado sin estar conectado a esa hora.</t>
        </is>
      </c>
      <c r="E25" s="7" t="inlineStr">
        <is>
          <t>CU18</t>
        </is>
      </c>
      <c r="F25" s="7" t="inlineStr">
        <is>
          <t>Should</t>
        </is>
      </c>
      <c r="G25" s="7" t="n">
        <v>3</v>
      </c>
      <c r="H25" s="7" t="inlineStr">
        <is>
          <t>Sprint 3</t>
        </is>
      </c>
      <c r="I25" s="5" t="inlineStr">
        <is>
          <t>Terminada</t>
        </is>
      </c>
    </row>
    <row r="26" ht="48" customHeight="1">
      <c r="B26" s="5" t="inlineStr">
        <is>
          <t>ACA-EP05-HU03</t>
        </is>
      </c>
      <c r="C26" s="5" t="inlineStr">
        <is>
          <t>EP05 · Contenidos y marketplace</t>
        </is>
      </c>
      <c r="D26" s="5" t="inlineStr">
        <is>
          <t>Como editor de contenido, necesito gestionar el catálogo de productos de apoyo, con la finalidad de ofrecer artículos útiles en la vitrina del marketplace.</t>
        </is>
      </c>
      <c r="E26" s="7" t="inlineStr">
        <is>
          <t>CU19</t>
        </is>
      </c>
      <c r="F26" s="7" t="inlineStr">
        <is>
          <t>Could</t>
        </is>
      </c>
      <c r="G26" s="7" t="n">
        <v>3</v>
      </c>
      <c r="H26" s="7" t="inlineStr">
        <is>
          <t>Sprint 3</t>
        </is>
      </c>
      <c r="I26" s="5" t="inlineStr">
        <is>
          <t>Terminada</t>
        </is>
      </c>
    </row>
    <row r="27" ht="48" customHeight="1">
      <c r="B27" s="5" t="inlineStr">
        <is>
          <t>ACA-EP05-HU04</t>
        </is>
      </c>
      <c r="C27" s="5" t="inlineStr">
        <is>
          <t>EP05 · Contenidos y marketplace</t>
        </is>
      </c>
      <c r="D27" s="5" t="inlineStr">
        <is>
          <t>Como editor de contenido, necesito aprobar o suspender perfiles de cuidadoras, con la finalidad de que solo aparezcan cuidadoras verificadas en el marketplace.</t>
        </is>
      </c>
      <c r="E27" s="7" t="inlineStr">
        <is>
          <t>CU20</t>
        </is>
      </c>
      <c r="F27" s="7" t="inlineStr">
        <is>
          <t>Should</t>
        </is>
      </c>
      <c r="G27" s="7" t="n">
        <v>3</v>
      </c>
      <c r="H27" s="7" t="inlineStr">
        <is>
          <t>Sprint 3</t>
        </is>
      </c>
      <c r="I27" s="5" t="inlineStr">
        <is>
          <t>Terminada</t>
        </is>
      </c>
    </row>
    <row r="28" ht="48" customHeight="1">
      <c r="B28" s="5" t="inlineStr">
        <is>
          <t>ACA-EP06-HU01</t>
        </is>
      </c>
      <c r="C28" s="5" t="inlineStr">
        <is>
          <t>EP06 · Moderación</t>
        </is>
      </c>
      <c r="D28" s="5" t="inlineStr">
        <is>
          <t>Como moderador, necesito revisar el contenido reportado y aprobarlo o rechazarlo con motivo, con la finalidad de mantener una comunidad segura para pacientes y familias.</t>
        </is>
      </c>
      <c r="E28" s="7" t="inlineStr">
        <is>
          <t>CU16</t>
        </is>
      </c>
      <c r="F28" s="7" t="inlineStr">
        <is>
          <t>Should</t>
        </is>
      </c>
      <c r="G28" s="7" t="n">
        <v>5</v>
      </c>
      <c r="H28" s="7" t="inlineStr">
        <is>
          <t>Sprint 3</t>
        </is>
      </c>
      <c r="I28" s="5" t="inlineStr">
        <is>
          <t>Terminada</t>
        </is>
      </c>
    </row>
    <row r="29" ht="48" customHeight="1">
      <c r="B29" s="5" t="inlineStr">
        <is>
          <t>ACA-EP07-HU01</t>
        </is>
      </c>
      <c r="C29" s="5" t="inlineStr">
        <is>
          <t>EP07 · Métricas y dashboards</t>
        </is>
      </c>
      <c r="D29" s="5" t="inlineStr">
        <is>
          <t>Como analista, necesito ver las métricas comerciales por periodo con su variación, con la finalidad de tomar decisiones sobre crecimiento y retención.</t>
        </is>
      </c>
      <c r="E29" s="7" t="inlineStr">
        <is>
          <t>CU21</t>
        </is>
      </c>
      <c r="F29" s="7" t="inlineStr">
        <is>
          <t>Must</t>
        </is>
      </c>
      <c r="G29" s="7" t="n">
        <v>8</v>
      </c>
      <c r="H29" s="7" t="inlineStr">
        <is>
          <t>Sprint 4</t>
        </is>
      </c>
      <c r="I29" s="5" t="inlineStr">
        <is>
          <t>Terminada</t>
        </is>
      </c>
    </row>
    <row r="30" ht="48" customHeight="1">
      <c r="B30" s="5" t="inlineStr">
        <is>
          <t>ACA-EP07-HU02</t>
        </is>
      </c>
      <c r="C30" s="5" t="inlineStr">
        <is>
          <t>EP07 · Métricas y dashboards</t>
        </is>
      </c>
      <c r="D30" s="5" t="inlineStr">
        <is>
          <t>Como analista, necesito ver el embudo freemium desde la descarga hasta el pago, con la finalidad de detectar en qué paso se pierden usuarios (objetivo OE3).</t>
        </is>
      </c>
      <c r="E30" s="7" t="inlineStr">
        <is>
          <t>CU22</t>
        </is>
      </c>
      <c r="F30" s="7" t="inlineStr">
        <is>
          <t>Should</t>
        </is>
      </c>
      <c r="G30" s="7" t="n">
        <v>3</v>
      </c>
      <c r="H30" s="7" t="inlineStr">
        <is>
          <t>Sprint 4</t>
        </is>
      </c>
      <c r="I30" s="5" t="inlineStr">
        <is>
          <t>Terminada</t>
        </is>
      </c>
    </row>
    <row r="31" ht="48" customHeight="1">
      <c r="B31" s="5" t="inlineStr">
        <is>
          <t>ACA-EP07-HU03</t>
        </is>
      </c>
      <c r="C31" s="5" t="inlineStr">
        <is>
          <t>EP07 · Métricas y dashboards</t>
        </is>
      </c>
      <c r="D31" s="5" t="inlineStr">
        <is>
          <t>Como analista, necesito ver el uso de la app por perfil de usuario, con la finalidad de entender cómo usan la app familiares, cuidadoras, adultos mayores y médicos.</t>
        </is>
      </c>
      <c r="E31" s="7" t="inlineStr">
        <is>
          <t>CU23</t>
        </is>
      </c>
      <c r="F31" s="7" t="inlineStr">
        <is>
          <t>Could</t>
        </is>
      </c>
      <c r="G31" s="7" t="n">
        <v>2</v>
      </c>
      <c r="H31" s="7" t="inlineStr">
        <is>
          <t>Sprint 4</t>
        </is>
      </c>
      <c r="I31" s="5" t="inlineStr">
        <is>
          <t>Terminada</t>
        </is>
      </c>
    </row>
    <row r="32" ht="33" customHeight="1">
      <c r="B32" s="5" t="inlineStr">
        <is>
          <t>ACA-EP07-HU04</t>
        </is>
      </c>
      <c r="C32" s="5" t="inlineStr">
        <is>
          <t>EP07 · Métricas y dashboards</t>
        </is>
      </c>
      <c r="D32" s="5" t="inlineStr">
        <is>
          <t>Como analista, necesito ver la adopción de cada funcionalidad por perfil, con la finalidad de decidir qué mejorar o promover.</t>
        </is>
      </c>
      <c r="E32" s="7" t="inlineStr">
        <is>
          <t>CU24</t>
        </is>
      </c>
      <c r="F32" s="7" t="inlineStr">
        <is>
          <t>Could</t>
        </is>
      </c>
      <c r="G32" s="7" t="n">
        <v>5</v>
      </c>
      <c r="H32" s="7" t="inlineStr">
        <is>
          <t>Sprint 4</t>
        </is>
      </c>
      <c r="I32" s="5" t="inlineStr">
        <is>
          <t>Terminada</t>
        </is>
      </c>
    </row>
    <row r="33" ht="48" customHeight="1">
      <c r="B33" s="5" t="inlineStr">
        <is>
          <t>ACA-EP07-HU05</t>
        </is>
      </c>
      <c r="C33" s="5" t="inlineStr">
        <is>
          <t>EP07 · Métricas y dashboards</t>
        </is>
      </c>
      <c r="D33" s="5" t="inlineStr">
        <is>
          <t>Como administrador, necesito que las métricas agregadas se consoliden automáticamente, con la finalidad de que los dashboards respondan rápido sin calcular sobre datos crudos.</t>
        </is>
      </c>
      <c r="E33" s="7" t="inlineStr">
        <is>
          <t>CU26</t>
        </is>
      </c>
      <c r="F33" s="7" t="inlineStr">
        <is>
          <t>Should</t>
        </is>
      </c>
      <c r="G33" s="7" t="n">
        <v>3</v>
      </c>
      <c r="H33" s="7" t="inlineStr">
        <is>
          <t>Sprint 4</t>
        </is>
      </c>
      <c r="I33" s="5" t="inlineStr">
        <is>
          <t>Terminada</t>
        </is>
      </c>
    </row>
    <row r="34" ht="48" customHeight="1">
      <c r="B34" s="5" t="inlineStr">
        <is>
          <t>ACA-EP08-HU01</t>
        </is>
      </c>
      <c r="C34" s="5" t="inlineStr">
        <is>
          <t>EP08 · Gestión comercial</t>
        </is>
      </c>
      <c r="D34" s="5" t="inlineStr">
        <is>
          <t>Como administrador, necesito configurar el precio y las funcionalidades de cada plan, con la finalidad de ajustar la oferta comercial sin depender de un desarrollador.</t>
        </is>
      </c>
      <c r="E34" s="7" t="inlineStr">
        <is>
          <t>CU09</t>
        </is>
      </c>
      <c r="F34" s="7" t="inlineStr">
        <is>
          <t>Must</t>
        </is>
      </c>
      <c r="G34" s="7" t="n">
        <v>5</v>
      </c>
      <c r="H34" s="7" t="inlineStr">
        <is>
          <t>Sprint 4</t>
        </is>
      </c>
      <c r="I34" s="5" t="inlineStr">
        <is>
          <t>Terminada</t>
        </is>
      </c>
    </row>
    <row r="35" ht="48" customHeight="1">
      <c r="B35" s="5" t="inlineStr">
        <is>
          <t>ACA-EP08-HU02</t>
        </is>
      </c>
      <c r="C35" s="5" t="inlineStr">
        <is>
          <t>EP08 · Gestión comercial</t>
        </is>
      </c>
      <c r="D35" s="5" t="inlineStr">
        <is>
          <t>Como administrador, necesito dar de alta y gestionar cuentas de clientes, con la finalidad de asociar a cada familia o proveedor un titular y sus datos de facturación.</t>
        </is>
      </c>
      <c r="E35" s="7" t="inlineStr">
        <is>
          <t>CU10</t>
        </is>
      </c>
      <c r="F35" s="7" t="inlineStr">
        <is>
          <t>Must</t>
        </is>
      </c>
      <c r="G35" s="7" t="n">
        <v>5</v>
      </c>
      <c r="H35" s="7" t="inlineStr">
        <is>
          <t>Sprint 4</t>
        </is>
      </c>
      <c r="I35" s="5" t="inlineStr">
        <is>
          <t>Terminada</t>
        </is>
      </c>
    </row>
    <row r="36" ht="48" customHeight="1">
      <c r="B36" s="5" t="inlineStr">
        <is>
          <t>ACA-EP08-HU03</t>
        </is>
      </c>
      <c r="C36" s="5" t="inlineStr">
        <is>
          <t>EP08 · Gestión comercial</t>
        </is>
      </c>
      <c r="D36" s="5" t="inlineStr">
        <is>
          <t>Como administrador, necesito cambiar el plan de una suscripción, con la finalidad de atender solicitudes de mejora o rebaja de plan.</t>
        </is>
      </c>
      <c r="E36" s="7" t="inlineStr">
        <is>
          <t>CU11</t>
        </is>
      </c>
      <c r="F36" s="7" t="inlineStr">
        <is>
          <t>Must</t>
        </is>
      </c>
      <c r="G36" s="7" t="n">
        <v>3</v>
      </c>
      <c r="H36" s="7" t="inlineStr">
        <is>
          <t>Sprint 4</t>
        </is>
      </c>
      <c r="I36" s="5" t="inlineStr">
        <is>
          <t>Terminada</t>
        </is>
      </c>
    </row>
    <row r="37" ht="48" customHeight="1">
      <c r="B37" s="5" t="inlineStr">
        <is>
          <t>ACA-EP08-HU04</t>
        </is>
      </c>
      <c r="C37" s="5" t="inlineStr">
        <is>
          <t>EP08 · Gestión comercial</t>
        </is>
      </c>
      <c r="D37" s="5" t="inlineStr">
        <is>
          <t>Como administrador, necesito cancelar una suscripción con motivo, con la finalidad de detener los cobros cuando el cliente lo solicita.</t>
        </is>
      </c>
      <c r="E37" s="7" t="inlineStr">
        <is>
          <t>CU12</t>
        </is>
      </c>
      <c r="F37" s="7" t="inlineStr">
        <is>
          <t>Must</t>
        </is>
      </c>
      <c r="G37" s="7" t="n">
        <v>3</v>
      </c>
      <c r="H37" s="7" t="inlineStr">
        <is>
          <t>Sprint 4</t>
        </is>
      </c>
      <c r="I37" s="5" t="inlineStr">
        <is>
          <t>Terminada</t>
        </is>
      </c>
    </row>
    <row r="38" ht="48" customHeight="1">
      <c r="B38" s="5" t="inlineStr">
        <is>
          <t>ACA-EP08-HU05</t>
        </is>
      </c>
      <c r="C38" s="5" t="inlineStr">
        <is>
          <t>EP08 · Gestión comercial</t>
        </is>
      </c>
      <c r="D38" s="5" t="inlineStr">
        <is>
          <t>Como analista, necesito consultar las transacciones de pago con filtros, con la finalidad de revisar ingresos, rechazos y reembolsos.</t>
        </is>
      </c>
      <c r="E38" s="7" t="inlineStr">
        <is>
          <t>CU13</t>
        </is>
      </c>
      <c r="F38" s="7" t="inlineStr">
        <is>
          <t>Must</t>
        </is>
      </c>
      <c r="G38" s="7" t="n">
        <v>3</v>
      </c>
      <c r="H38" s="7" t="inlineStr">
        <is>
          <t>Sprint 4</t>
        </is>
      </c>
      <c r="I38" s="5" t="inlineStr">
        <is>
          <t>Terminada</t>
        </is>
      </c>
    </row>
    <row r="39" ht="48" customHeight="1">
      <c r="B39" s="5" t="inlineStr">
        <is>
          <t>ACA-EP08-HU06</t>
        </is>
      </c>
      <c r="C39" s="5" t="inlineStr">
        <is>
          <t>EP08 · Gestión comercial</t>
        </is>
      </c>
      <c r="D39" s="5" t="inlineStr">
        <is>
          <t>Como administrador, necesito que los eventos de la pasarela de pagos se registren automáticamente, con la finalidad de mantener las suscripciones al día sin digitar pagos.</t>
        </is>
      </c>
      <c r="E39" s="7" t="inlineStr">
        <is>
          <t>CU14</t>
        </is>
      </c>
      <c r="F39" s="7" t="inlineStr">
        <is>
          <t>Must</t>
        </is>
      </c>
      <c r="G39" s="7" t="n">
        <v>8</v>
      </c>
      <c r="H39" s="7" t="inlineStr">
        <is>
          <t>Sprint 4</t>
        </is>
      </c>
      <c r="I39" s="5" t="inlineStr">
        <is>
          <t>Terminada</t>
        </is>
      </c>
    </row>
    <row r="40" ht="33" customHeight="1">
      <c r="B40" s="5" t="inlineStr">
        <is>
          <t>ACA-EP08-HU07</t>
        </is>
      </c>
      <c r="C40" s="5" t="inlineStr">
        <is>
          <t>EP08 · Gestión comercial</t>
        </is>
      </c>
      <c r="D40" s="5" t="inlineStr">
        <is>
          <t>Como administrador, necesito emitir reembolsos totales o parciales, con la finalidad de resolver cobros indebidos.</t>
        </is>
      </c>
      <c r="E40" s="7" t="inlineStr">
        <is>
          <t>CU15</t>
        </is>
      </c>
      <c r="F40" s="7" t="inlineStr">
        <is>
          <t>Should</t>
        </is>
      </c>
      <c r="G40" s="7" t="n">
        <v>3</v>
      </c>
      <c r="H40" s="7" t="inlineStr">
        <is>
          <t>Sprint 4</t>
        </is>
      </c>
      <c r="I40" s="5" t="inlineStr">
        <is>
          <t>Terminada</t>
        </is>
      </c>
    </row>
    <row r="41" ht="48" customHeight="1">
      <c r="B41" s="5" t="inlineStr">
        <is>
          <t>ACA-EP09-HU01</t>
        </is>
      </c>
      <c r="C41" s="5" t="inlineStr">
        <is>
          <t>EP09 · Configuración y legal</t>
        </is>
      </c>
      <c r="D41" s="5" t="inlineStr">
        <is>
          <t>Como administrador, necesito configurar los umbrales del semáforo de signos vitales, con la finalidad de ajustar cuándo se emite una alerta según criterio clínico.</t>
        </is>
      </c>
      <c r="E41" s="7" t="inlineStr">
        <is>
          <t>CU05</t>
        </is>
      </c>
      <c r="F41" s="7" t="inlineStr">
        <is>
          <t>Should</t>
        </is>
      </c>
      <c r="G41" s="7" t="n">
        <v>3</v>
      </c>
      <c r="H41" s="7" t="inlineStr">
        <is>
          <t>Sprint 5</t>
        </is>
      </c>
      <c r="I41" s="5" t="inlineStr">
        <is>
          <t>Terminada (adelantada)</t>
        </is>
      </c>
    </row>
    <row r="42" ht="48" customHeight="1">
      <c r="B42" s="5" t="inlineStr">
        <is>
          <t>ACA-EP09-HU02</t>
        </is>
      </c>
      <c r="C42" s="5" t="inlineStr">
        <is>
          <t>EP09 · Configuración y legal</t>
        </is>
      </c>
      <c r="D42" s="5" t="inlineStr">
        <is>
          <t>Como administrador, necesito cambiar parámetros del sistema con una nota del cambio, con la finalidad de adaptar el comportamiento sin desplegar código.</t>
        </is>
      </c>
      <c r="E42" s="7" t="inlineStr">
        <is>
          <t>CU06</t>
        </is>
      </c>
      <c r="F42" s="7" t="inlineStr">
        <is>
          <t>Could</t>
        </is>
      </c>
      <c r="G42" s="7" t="n">
        <v>3</v>
      </c>
      <c r="H42" s="7" t="inlineStr">
        <is>
          <t>Sprint 5</t>
        </is>
      </c>
      <c r="I42" s="5" t="inlineStr">
        <is>
          <t>Terminada (adelantada)</t>
        </is>
      </c>
    </row>
    <row r="43" ht="48" customHeight="1">
      <c r="B43" s="5" t="inlineStr">
        <is>
          <t>ACA-EP09-HU03</t>
        </is>
      </c>
      <c r="C43" s="5" t="inlineStr">
        <is>
          <t>EP09 · Configuración y legal</t>
        </is>
      </c>
      <c r="D43" s="5" t="inlineStr">
        <is>
          <t>Como administrador, necesito redactar una nueva versión de términos o privacidad, con la finalidad de mantener los documentos legales al día.</t>
        </is>
      </c>
      <c r="E43" s="7" t="inlineStr">
        <is>
          <t>CU07</t>
        </is>
      </c>
      <c r="F43" s="7" t="inlineStr">
        <is>
          <t>Could</t>
        </is>
      </c>
      <c r="G43" s="7" t="n">
        <v>3</v>
      </c>
      <c r="H43" s="7" t="inlineStr">
        <is>
          <t>Sprint 5</t>
        </is>
      </c>
      <c r="I43" s="5" t="inlineStr">
        <is>
          <t>Terminada (adelantada)</t>
        </is>
      </c>
    </row>
    <row r="44" ht="33" customHeight="1">
      <c r="B44" s="5" t="inlineStr">
        <is>
          <t>ACA-EP09-HU04</t>
        </is>
      </c>
      <c r="C44" s="5" t="inlineStr">
        <is>
          <t>EP09 · Configuración y legal</t>
        </is>
      </c>
      <c r="D44" s="5" t="inlineStr">
        <is>
          <t>Como administrador, necesito publicar una versión legal, con la finalidad de que la app muestre siempre la versión vigente.</t>
        </is>
      </c>
      <c r="E44" s="7" t="inlineStr">
        <is>
          <t>CU08</t>
        </is>
      </c>
      <c r="F44" s="7" t="inlineStr">
        <is>
          <t>Could</t>
        </is>
      </c>
      <c r="G44" s="7" t="n">
        <v>2</v>
      </c>
      <c r="H44" s="7" t="inlineStr">
        <is>
          <t>Sprint 5</t>
        </is>
      </c>
      <c r="I44" s="5" t="inlineStr">
        <is>
          <t>Terminada (adelantada)</t>
        </is>
      </c>
    </row>
    <row r="45" ht="48" customHeight="1">
      <c r="B45" s="5" t="inlineStr">
        <is>
          <t>ACA-EP10-HU01</t>
        </is>
      </c>
      <c r="C45" s="5" t="inlineStr">
        <is>
          <t>EP10 · Plataforma, calidad y despliegue</t>
        </is>
      </c>
      <c r="D45" s="5" t="inlineStr">
        <is>
          <t>Como equipo de desarrollo, necesito una arquitectura base con repositorio, frontend SPA y API REST, con la finalidad de construir los módulos de forma ordenada y mantenible.</t>
        </is>
      </c>
      <c r="E45" s="7" t="inlineStr">
        <is>
          <t>—</t>
        </is>
      </c>
      <c r="F45" s="7" t="inlineStr">
        <is>
          <t>Must</t>
        </is>
      </c>
      <c r="G45" s="7" t="n">
        <v>5</v>
      </c>
      <c r="H45" s="7" t="inlineStr">
        <is>
          <t>Sprint 1</t>
        </is>
      </c>
      <c r="I45" s="5" t="inlineStr">
        <is>
          <t>Terminada</t>
        </is>
      </c>
    </row>
    <row r="46" ht="48" customHeight="1">
      <c r="B46" s="5" t="inlineStr">
        <is>
          <t>ACA-EP10-HU02</t>
        </is>
      </c>
      <c r="C46" s="5" t="inlineStr">
        <is>
          <t>EP10 · Plataforma, calidad y despliegue</t>
        </is>
      </c>
      <c r="D46" s="5" t="inlineStr">
        <is>
          <t>Como equipo de desarrollo, necesito el modelo de datos implementado con migraciones versionadas, con la finalidad de que la base de datos evolucione sin perder información.</t>
        </is>
      </c>
      <c r="E46" s="7" t="inlineStr">
        <is>
          <t>—</t>
        </is>
      </c>
      <c r="F46" s="7" t="inlineStr">
        <is>
          <t>Must</t>
        </is>
      </c>
      <c r="G46" s="7" t="n">
        <v>5</v>
      </c>
      <c r="H46" s="7" t="inlineStr">
        <is>
          <t>Sprint 1</t>
        </is>
      </c>
      <c r="I46" s="5" t="inlineStr">
        <is>
          <t>Terminada</t>
        </is>
      </c>
    </row>
    <row r="47" ht="48" customHeight="1">
      <c r="B47" s="5" t="inlineStr">
        <is>
          <t>ACA-EP10-HU03</t>
        </is>
      </c>
      <c r="C47" s="5" t="inlineStr">
        <is>
          <t>EP10 · Plataforma, calidad y despliegue</t>
        </is>
      </c>
      <c r="D47" s="5" t="inlineStr">
        <is>
          <t>Como equipo de desarrollo, necesito un prototipo de interfaz (wireframe) validado, con la finalidad de construir pantallas coherentes y usables.</t>
        </is>
      </c>
      <c r="E47" s="7" t="inlineStr">
        <is>
          <t>—</t>
        </is>
      </c>
      <c r="F47" s="7" t="inlineStr">
        <is>
          <t>Should</t>
        </is>
      </c>
      <c r="G47" s="7" t="n">
        <v>3</v>
      </c>
      <c r="H47" s="7" t="inlineStr">
        <is>
          <t>Sprint 1</t>
        </is>
      </c>
      <c r="I47" s="5" t="inlineStr">
        <is>
          <t>Terminada</t>
        </is>
      </c>
    </row>
    <row r="48" ht="48" customHeight="1">
      <c r="B48" s="5" t="inlineStr">
        <is>
          <t>ACA-EP10-HU04</t>
        </is>
      </c>
      <c r="C48" s="5" t="inlineStr">
        <is>
          <t>EP10 · Plataforma, calidad y despliegue</t>
        </is>
      </c>
      <c r="D48" s="5" t="inlineStr">
        <is>
          <t>Como administrador, necesito la consola publicada en Render con la base de datos en Neon, con la finalidad de usarla desde cualquier lugar con disponibilidad y seguridad.</t>
        </is>
      </c>
      <c r="E48" s="7" t="inlineStr">
        <is>
          <t>—</t>
        </is>
      </c>
      <c r="F48" s="7" t="inlineStr">
        <is>
          <t>Must</t>
        </is>
      </c>
      <c r="G48" s="7" t="n">
        <v>8</v>
      </c>
      <c r="H48" s="7" t="inlineStr">
        <is>
          <t>Sprint 5</t>
        </is>
      </c>
      <c r="I48" s="5" t="inlineStr">
        <is>
          <t>Pendiente</t>
        </is>
      </c>
    </row>
    <row r="49" ht="48" customHeight="1">
      <c r="B49" s="5" t="inlineStr">
        <is>
          <t>ACA-EP10-HU05</t>
        </is>
      </c>
      <c r="C49" s="5" t="inlineStr">
        <is>
          <t>EP10 · Plataforma, calidad y despliegue</t>
        </is>
      </c>
      <c r="D49" s="5" t="inlineStr">
        <is>
          <t>Como equipo de desarrollo, necesito un pipeline de integración y despliegue continuo, con la finalidad de que cada cambio se pruebe y despliegue automáticamente.</t>
        </is>
      </c>
      <c r="E49" s="7" t="inlineStr">
        <is>
          <t>—</t>
        </is>
      </c>
      <c r="F49" s="7" t="inlineStr">
        <is>
          <t>Must</t>
        </is>
      </c>
      <c r="G49" s="7" t="n">
        <v>5</v>
      </c>
      <c r="H49" s="7" t="inlineStr">
        <is>
          <t>Sprint 5</t>
        </is>
      </c>
      <c r="I49" s="5" t="inlineStr">
        <is>
          <t>Pendiente</t>
        </is>
      </c>
    </row>
    <row r="50" ht="33" customHeight="1">
      <c r="B50" s="5" t="inlineStr">
        <is>
          <t>ACA-EP10-HU06</t>
        </is>
      </c>
      <c r="C50" s="5" t="inlineStr">
        <is>
          <t>EP10 · Plataforma, calidad y despliegue</t>
        </is>
      </c>
      <c r="D50" s="5" t="inlineStr">
        <is>
          <t>Como administrador, necesito registros y alertas técnicas en Render, con la finalidad de detectar errores en producción.</t>
        </is>
      </c>
      <c r="E50" s="7" t="inlineStr">
        <is>
          <t>—</t>
        </is>
      </c>
      <c r="F50" s="7" t="inlineStr">
        <is>
          <t>Should</t>
        </is>
      </c>
      <c r="G50" s="7" t="n">
        <v>3</v>
      </c>
      <c r="H50" s="7" t="inlineStr">
        <is>
          <t>Sprint 5</t>
        </is>
      </c>
      <c r="I50" s="5" t="inlineStr">
        <is>
          <t>Pendiente</t>
        </is>
      </c>
    </row>
    <row r="51" ht="48" customHeight="1">
      <c r="B51" s="5" t="inlineStr">
        <is>
          <t>ACA-EP10-HU07</t>
        </is>
      </c>
      <c r="C51" s="5" t="inlineStr">
        <is>
          <t>EP10 · Plataforma, calidad y despliegue</t>
        </is>
      </c>
      <c r="D51" s="5" t="inlineStr">
        <is>
          <t>Como equipo de desarrollo, necesito pruebas de carga sobre los endpoints críticos, con la finalidad de verificar que la consola cumple los tiempos de respuesta.</t>
        </is>
      </c>
      <c r="E51" s="7" t="inlineStr">
        <is>
          <t>—</t>
        </is>
      </c>
      <c r="F51" s="7" t="inlineStr">
        <is>
          <t>Should</t>
        </is>
      </c>
      <c r="G51" s="7" t="n">
        <v>5</v>
      </c>
      <c r="H51" s="7" t="inlineStr">
        <is>
          <t>Sprint 6</t>
        </is>
      </c>
      <c r="I51" s="5" t="inlineStr">
        <is>
          <t>Pendiente</t>
        </is>
      </c>
    </row>
    <row r="52" ht="48" customHeight="1">
      <c r="B52" s="5" t="inlineStr">
        <is>
          <t>ACA-EP10-HU08</t>
        </is>
      </c>
      <c r="C52" s="5" t="inlineStr">
        <is>
          <t>EP10 · Plataforma, calidad y despliegue</t>
        </is>
      </c>
      <c r="D52" s="5" t="inlineStr">
        <is>
          <t>Como equipo de desarrollo, necesito pruebas de seguridad basadas en OWASP, con la finalidad de corregir vulnerabilidades antes de la entrega.</t>
        </is>
      </c>
      <c r="E52" s="7" t="inlineStr">
        <is>
          <t>—</t>
        </is>
      </c>
      <c r="F52" s="7" t="inlineStr">
        <is>
          <t>Must</t>
        </is>
      </c>
      <c r="G52" s="7" t="n">
        <v>5</v>
      </c>
      <c r="H52" s="7" t="inlineStr">
        <is>
          <t>Sprint 6</t>
        </is>
      </c>
      <c r="I52" s="5" t="inlineStr">
        <is>
          <t>Pendiente</t>
        </is>
      </c>
    </row>
    <row r="53" ht="48" customHeight="1">
      <c r="B53" s="5" t="inlineStr">
        <is>
          <t>ACA-EP10-HU09</t>
        </is>
      </c>
      <c r="C53" s="5" t="inlineStr">
        <is>
          <t>EP10 · Plataforma, calidad y despliegue</t>
        </is>
      </c>
      <c r="D53" s="5" t="inlineStr">
        <is>
          <t>Como administrador, necesito un manual de usuario de la consola, con la finalidad de que el equipo de Wellq Co pueda operarla sin capacitación presencial.</t>
        </is>
      </c>
      <c r="E53" s="7" t="inlineStr">
        <is>
          <t>—</t>
        </is>
      </c>
      <c r="F53" s="7" t="inlineStr">
        <is>
          <t>Should</t>
        </is>
      </c>
      <c r="G53" s="7" t="n">
        <v>3</v>
      </c>
      <c r="H53" s="7" t="inlineStr">
        <is>
          <t>Sprint 6</t>
        </is>
      </c>
      <c r="I53" s="5" t="inlineStr">
        <is>
          <t>Pendiente</t>
        </is>
      </c>
    </row>
    <row r="55">
      <c r="B55" s="24" t="inlineStr">
        <is>
          <t>Total de puntos de historia</t>
        </is>
      </c>
      <c r="G55" s="27">
        <f>SUM(G5:G53)</f>
        <v/>
      </c>
    </row>
  </sheetData>
  <autoFilter ref="B4:I53"/>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B1:I1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5" customWidth="1" min="1" max="1"/>
    <col width="10" customWidth="1" min="2" max="2"/>
    <col width="16" customWidth="1" min="3" max="3"/>
    <col width="11" customWidth="1" min="4" max="4"/>
    <col width="11" customWidth="1" min="5" max="5"/>
    <col width="40" customWidth="1" min="6" max="6"/>
    <col width="34" customWidth="1" min="7" max="7"/>
    <col width="9" customWidth="1" min="8" max="8"/>
    <col width="40" customWidth="1" min="9" max="9"/>
  </cols>
  <sheetData>
    <row r="1">
      <c r="B1" s="25" t="inlineStr">
        <is>
          <t>Sprints</t>
        </is>
      </c>
    </row>
    <row r="2">
      <c r="B2" s="26" t="inlineStr">
        <is>
          <t>AgeCare Administración (ACA) · 10/10/2026</t>
        </is>
      </c>
    </row>
    <row r="4" ht="32" customHeight="1">
      <c r="B4" s="13" t="inlineStr">
        <is>
          <t>Sprint</t>
        </is>
      </c>
      <c r="C4" s="13" t="inlineStr">
        <is>
          <t>Nombre</t>
        </is>
      </c>
      <c r="D4" s="13" t="inlineStr">
        <is>
          <t>Inicio</t>
        </is>
      </c>
      <c r="E4" s="13" t="inlineStr">
        <is>
          <t>Fin</t>
        </is>
      </c>
      <c r="F4" s="13" t="inlineStr">
        <is>
          <t>Objetivo del sprint</t>
        </is>
      </c>
      <c r="G4" s="13" t="inlineStr">
        <is>
          <t>Historias (Sprint Backlog)</t>
        </is>
      </c>
      <c r="H4" s="13" t="inlineStr">
        <is>
          <t>Puntos</t>
        </is>
      </c>
      <c r="I4" s="13" t="inlineStr">
        <is>
          <t>Incremento / entregable</t>
        </is>
      </c>
    </row>
    <row r="5" ht="63" customHeight="1">
      <c r="B5" s="7" t="inlineStr">
        <is>
          <t>Sprint 1</t>
        </is>
      </c>
      <c r="C5" s="5" t="inlineStr">
        <is>
          <t>Fundaciones</t>
        </is>
      </c>
      <c r="D5" s="7" t="inlineStr">
        <is>
          <t>10/08/2026</t>
        </is>
      </c>
      <c r="E5" s="7" t="inlineStr">
        <is>
          <t>23/08/2026</t>
        </is>
      </c>
      <c r="F5" s="5" t="inlineStr">
        <is>
          <t>Definir la visión, el backlog y la arquitectura, y dejar listo el modelo de datos y el prototipo para empezar a construir.</t>
        </is>
      </c>
      <c r="G5" s="5" t="inlineStr">
        <is>
          <t>EP10-HU01, EP10-HU02, EP10-HU03</t>
        </is>
      </c>
      <c r="H5" s="21">
        <f>SUMIFS('Product Backlog'!$G:$G,'Product Backlog'!$H:$H,"Sprint 1")</f>
        <v/>
      </c>
      <c r="I5" s="5" t="inlineStr">
        <is>
          <t>Visión y roles, épicas e historias priorizadas, requisitos, diagrama de casos de uso, MER, wireframe y repositorio con la arquitectura base.</t>
        </is>
      </c>
    </row>
    <row r="6" ht="63" customHeight="1">
      <c r="B6" s="7" t="inlineStr">
        <is>
          <t>Sprint 2</t>
        </is>
      </c>
      <c r="C6" s="5" t="inlineStr">
        <is>
          <t>Acceso y soporte</t>
        </is>
      </c>
      <c r="D6" s="7" t="inlineStr">
        <is>
          <t>24/08/2026</t>
        </is>
      </c>
      <c r="E6" s="7" t="inlineStr">
        <is>
          <t>13/09/2026</t>
        </is>
      </c>
      <c r="F6" s="5" t="inlineStr">
        <is>
          <t>Que el staff pueda ingresar de forma segura y el equipo de soporte atienda tickets de punta a punta (Avance 2).</t>
        </is>
      </c>
      <c r="G6" s="5" t="inlineStr">
        <is>
          <t>EP01-HU01, EP01-HU02, EP01-HU03, EP01-HU04, EP02-HU01, EP02-HU02, EP02-HU03, EP02-HU04, EP02-HU05, EP02-HU06, EP02-HU07</t>
        </is>
      </c>
      <c r="H6" s="21">
        <f>SUMIFS('Product Backlog'!$G:$G,'Product Backlog'!$H:$H,"Sprint 2")</f>
        <v/>
      </c>
      <c r="I6" s="5" t="inlineStr">
        <is>
          <t>Login con JWT y TOTP, gestión de staff y roles, auditoría y módulo de soporte con indicadores.</t>
        </is>
      </c>
    </row>
    <row r="7" ht="78" customHeight="1">
      <c r="B7" s="7" t="inlineStr">
        <is>
          <t>Sprint 3</t>
        </is>
      </c>
      <c r="C7" s="5" t="inlineStr">
        <is>
          <t>Operación y comunidad</t>
        </is>
      </c>
      <c r="D7" s="7" t="inlineStr">
        <is>
          <t>14/09/2026</t>
        </is>
      </c>
      <c r="E7" s="7" t="inlineStr">
        <is>
          <t>27/09/2026</t>
        </is>
      </c>
      <c r="F7" s="5" t="inlineStr">
        <is>
          <t>Dar visibilidad del estado de la plataforma y herramientas para usuarios, contenidos y moderación.</t>
        </is>
      </c>
      <c r="G7" s="5" t="inlineStr">
        <is>
          <t>EP03-HU01, EP03-HU02, EP03-HU03, EP04-HU01, EP04-HU02, EP04-HU03, EP04-HU04, EP04-HU05, EP05-HU01, EP05-HU02, EP05-HU03, EP05-HU04, EP06-HU01</t>
        </is>
      </c>
      <c r="H7" s="21">
        <f>SUMIFS('Product Backlog'!$G:$G,'Product Backlog'!$H:$H,"Sprint 3")</f>
        <v/>
      </c>
      <c r="I7" s="5" t="inlineStr">
        <is>
          <t>Usuarios de la app, estado operativo e incidentes, alertas, contenidos, productos, cuidadoras y moderación.</t>
        </is>
      </c>
    </row>
    <row r="8" ht="63" customHeight="1">
      <c r="B8" s="7" t="inlineStr">
        <is>
          <t>Sprint 4</t>
        </is>
      </c>
      <c r="C8" s="5" t="inlineStr">
        <is>
          <t>Negocio</t>
        </is>
      </c>
      <c r="D8" s="7" t="inlineStr">
        <is>
          <t>28/09/2026</t>
        </is>
      </c>
      <c r="E8" s="7" t="inlineStr">
        <is>
          <t>11/10/2026</t>
        </is>
      </c>
      <c r="F8" s="5" t="inlineStr">
        <is>
          <t>Entregar las métricas de negocio y la gestión comercial completa para el informe de avance (semana 9).</t>
        </is>
      </c>
      <c r="G8" s="5" t="inlineStr">
        <is>
          <t>EP07-HU01, EP07-HU02, EP07-HU03, EP07-HU04, EP07-HU05, EP08-HU01, EP08-HU02, EP08-HU03, EP08-HU04, EP08-HU05, EP08-HU06, EP08-HU07</t>
        </is>
      </c>
      <c r="H8" s="21">
        <f>SUMIFS('Product Backlog'!$G:$G,'Product Backlog'!$H:$H,"Sprint 4")</f>
        <v/>
      </c>
      <c r="I8" s="5" t="inlineStr">
        <is>
          <t>Dashboards, embudo, adopción, planes, cuentas, suscripciones, pagos y reembolsos.</t>
        </is>
      </c>
    </row>
    <row r="9" ht="63" customHeight="1">
      <c r="B9" s="7" t="inlineStr">
        <is>
          <t>Sprint 5</t>
        </is>
      </c>
      <c r="C9" s="5" t="inlineStr">
        <is>
          <t>Configuración y nube</t>
        </is>
      </c>
      <c r="D9" s="7" t="inlineStr">
        <is>
          <t>12/10/2026</t>
        </is>
      </c>
      <c r="E9" s="7" t="inlineStr">
        <is>
          <t>25/10/2026</t>
        </is>
      </c>
      <c r="F9" s="5" t="inlineStr">
        <is>
          <t>Completar la configuración del sistema y dejar la consola publicada en Render (base de datos en Neon) con integración continua.</t>
        </is>
      </c>
      <c r="G9" s="5" t="inlineStr">
        <is>
          <t>EP09-HU01, EP09-HU02, EP09-HU03, EP09-HU04, EP10-HU04, EP10-HU05, EP10-HU06</t>
        </is>
      </c>
      <c r="H9" s="21">
        <f>SUMIFS('Product Backlog'!$G:$G,'Product Backlog'!$H:$H,"Sprint 5")</f>
        <v/>
      </c>
      <c r="I9" s="5" t="inlineStr">
        <is>
          <t>Configuración y legales, despliegue en Render + Neon, pipeline CI/CD y monitoreo con los registros de Render.</t>
        </is>
      </c>
    </row>
    <row r="10" ht="48" customHeight="1">
      <c r="B10" s="7" t="inlineStr">
        <is>
          <t>Sprint 6</t>
        </is>
      </c>
      <c r="C10" s="5" t="inlineStr">
        <is>
          <t>Calidad y cierre</t>
        </is>
      </c>
      <c r="D10" s="7" t="inlineStr">
        <is>
          <t>26/10/2026</t>
        </is>
      </c>
      <c r="E10" s="7" t="inlineStr">
        <is>
          <t>15/11/2026</t>
        </is>
      </c>
      <c r="F10" s="5" t="inlineStr">
        <is>
          <t>Asegurar la calidad del producto y cerrar el proyecto con la documentación y la presentación final.</t>
        </is>
      </c>
      <c r="G10" s="5" t="inlineStr">
        <is>
          <t>EP10-HU07, EP10-HU08, EP10-HU09</t>
        </is>
      </c>
      <c r="H10" s="21">
        <f>SUMIFS('Product Backlog'!$G:$G,'Product Backlog'!$H:$H,"Sprint 6")</f>
        <v/>
      </c>
      <c r="I10" s="5" t="inlineStr">
        <is>
          <t>Pruebas de carga y seguridad con hallazgos corregidos, manual de usuario, informe final y demostración.</t>
        </is>
      </c>
    </row>
    <row r="12">
      <c r="B12" s="24" t="inlineStr">
        <is>
          <t>Total</t>
        </is>
      </c>
      <c r="H12" s="27">
        <f>SUM(H5:H10)</f>
        <v/>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2012-09-02T03:53:17Z</dcterms:created>
  <dcterms:modified xmlns:dcterms="http://purl.org/dc/terms/" xmlns:xsi="http://www.w3.org/2001/XMLSchema-instance" xsi:type="dcterms:W3CDTF">2026-10-11T01:36:59Z</dcterms:modified>
  <cp:lastModifiedBy>mabel herrera pino</cp:lastModifiedBy>
  <cp:lastPrinted>2024-05-05T20:57:07Z</cp:lastPrinted>
</cp:coreProperties>
</file>
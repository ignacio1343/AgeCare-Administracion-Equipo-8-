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  <sheet state="visible" name="Sprint 5" sheetId="5" r:id="rId8"/>
    <sheet state="visible" name="Sprint 6" sheetId="6" r:id="rId9"/>
    <sheet state="visible" name="Instrucciones" sheetId="7" r:id="rId10"/>
  </sheets>
  <definedNames/>
  <calcPr/>
  <extLst>
    <ext uri="GoogleSheetsCustomDataVersion2">
      <go:sheetsCustomData xmlns:go="http://customooxmlschemas.google.com/" r:id="rId11" roundtripDataChecksum="uurcVLDHwDTWLhG8pz1JR/1sxg46KodSr1kajUspvvs="/>
    </ext>
  </extLst>
</workbook>
</file>

<file path=xl/sharedStrings.xml><?xml version="1.0" encoding="utf-8"?>
<sst xmlns="http://schemas.openxmlformats.org/spreadsheetml/2006/main" count="356" uniqueCount="298">
  <si>
    <t>Burndown Chart – Sprint 4 «Negocio» (28/09/2026 – 11/10/2026)</t>
  </si>
  <si>
    <t>Burndown Chart – Sprint 2 «Acceso y soporte» (24/08/2026 – 13/09/2026)</t>
  </si>
  <si>
    <t>Burndown Chart – Sprint 1 «Fundaciones» (10/08/2026 – 23/08/2026)</t>
  </si>
  <si>
    <t>Burndown Chart – Sprint 3 «Operación y comunidad» (14/09/2026 – 27/09/2026)</t>
  </si>
  <si>
    <t>Complete solo las celdas verdes. Avance real registrado al cierre de cada día.</t>
  </si>
  <si>
    <t>Complete solo las celdas verdes. Avance real registrado al cierre de cada día. Las horas libres de la segunda semana se usaron en EP09 (adelantada del Sprint 5).</t>
  </si>
  <si>
    <t>Duración del sprint (días hábiles):</t>
  </si>
  <si>
    <t>Horas restantes al final de cada día →</t>
  </si>
  <si>
    <t>Tarea</t>
  </si>
  <si>
    <t>Horas estimadas</t>
  </si>
  <si>
    <t>Día 1
14/09</t>
  </si>
  <si>
    <t>Día 2
15/09</t>
  </si>
  <si>
    <t>Día 1
24/08</t>
  </si>
  <si>
    <t>Día 3
16/09</t>
  </si>
  <si>
    <t>Día 1
10/08</t>
  </si>
  <si>
    <t>Día 2
25/08</t>
  </si>
  <si>
    <t>Día 4
17/09</t>
  </si>
  <si>
    <t>Día 2
11/08</t>
  </si>
  <si>
    <t>Día 3
26/08</t>
  </si>
  <si>
    <t>Día 5
21/09</t>
  </si>
  <si>
    <t>Día 3
12/08</t>
  </si>
  <si>
    <t>Día 6
22/09</t>
  </si>
  <si>
    <t>Día 4
13/08</t>
  </si>
  <si>
    <t>Día 4
27/08</t>
  </si>
  <si>
    <t>Día 7
23/09</t>
  </si>
  <si>
    <t>Día 5
14/08</t>
  </si>
  <si>
    <t>Día 1
28/09</t>
  </si>
  <si>
    <t>Día 5
28/08</t>
  </si>
  <si>
    <t>Día 8
24/09</t>
  </si>
  <si>
    <t>Día 6
17/08</t>
  </si>
  <si>
    <t>Día 2
29/09</t>
  </si>
  <si>
    <t>Día 9
25/09</t>
  </si>
  <si>
    <t>Día 6
31/08</t>
  </si>
  <si>
    <t>Día 7
18/08</t>
  </si>
  <si>
    <t>Día 3
30/09</t>
  </si>
  <si>
    <t>Día 10</t>
  </si>
  <si>
    <t>Día 7
01/09</t>
  </si>
  <si>
    <t>Día 8
19/08</t>
  </si>
  <si>
    <t>Día 11</t>
  </si>
  <si>
    <t>Día 8
02/09</t>
  </si>
  <si>
    <t>Día 4
01/10</t>
  </si>
  <si>
    <t>Día 9
20/08</t>
  </si>
  <si>
    <t>Día 10
21/08</t>
  </si>
  <si>
    <t>Día 12</t>
  </si>
  <si>
    <t>Día 5
02/10</t>
  </si>
  <si>
    <t>Día 13</t>
  </si>
  <si>
    <t>Día 6
05/10</t>
  </si>
  <si>
    <t>Día 14</t>
  </si>
  <si>
    <t>Día 7
06/10</t>
  </si>
  <si>
    <t>Día 15</t>
  </si>
  <si>
    <t>EP10-HU01-T1</t>
  </si>
  <si>
    <t>Día 8
07/10</t>
  </si>
  <si>
    <t>Día 9
08/10</t>
  </si>
  <si>
    <t>Día 9
03/09</t>
  </si>
  <si>
    <t>EP03-HU01-T1</t>
  </si>
  <si>
    <t>Día 10
09/10</t>
  </si>
  <si>
    <t>Día 10
04/09</t>
  </si>
  <si>
    <t>Día 11
07/09</t>
  </si>
  <si>
    <t>EP03-HU01-T2</t>
  </si>
  <si>
    <t>Día 12
08/09</t>
  </si>
  <si>
    <t>EP07-HU01-T1</t>
  </si>
  <si>
    <t>Día 13
09/09</t>
  </si>
  <si>
    <t>EP10-HU01-T2</t>
  </si>
  <si>
    <t>Día 14
10/09</t>
  </si>
  <si>
    <t>EP03-HU01-T3</t>
  </si>
  <si>
    <t>Día 15
11/09</t>
  </si>
  <si>
    <t>EP07-HU01-T2</t>
  </si>
  <si>
    <t>EP01-HU01-T1</t>
  </si>
  <si>
    <t>EP03-HU02-T1</t>
  </si>
  <si>
    <t>EP10-HU01-T3</t>
  </si>
  <si>
    <t>EP07-HU01-T3</t>
  </si>
  <si>
    <t>EP03-HU02-T2</t>
  </si>
  <si>
    <t>EP10-HU01-T4</t>
  </si>
  <si>
    <t>EP01-HU01-T2</t>
  </si>
  <si>
    <t>EP03-HU02-T3</t>
  </si>
  <si>
    <t>EP07-HU02-T1</t>
  </si>
  <si>
    <t>EP10-HU02-T1</t>
  </si>
  <si>
    <t>EP03-HU03-T1</t>
  </si>
  <si>
    <t>EP01-HU01-T3</t>
  </si>
  <si>
    <t>EP07-HU02-T2</t>
  </si>
  <si>
    <t>EP03-HU03-T2</t>
  </si>
  <si>
    <t>EP10-HU02-T2</t>
  </si>
  <si>
    <t>EP01-HU02-T1</t>
  </si>
  <si>
    <t>EP04-HU01-T1</t>
  </si>
  <si>
    <t>EP07-HU02-T3</t>
  </si>
  <si>
    <t>EP04-HU01-T2</t>
  </si>
  <si>
    <t>EP01-HU02-T2</t>
  </si>
  <si>
    <t>EP10-HU02-T3</t>
  </si>
  <si>
    <t>EP04-HU01-T3</t>
  </si>
  <si>
    <t>EP07-HU03-T1</t>
  </si>
  <si>
    <t>EP04-HU02-T1</t>
  </si>
  <si>
    <t>EP01-HU02-T3</t>
  </si>
  <si>
    <t>EP10-HU03-T1</t>
  </si>
  <si>
    <t>EP07-HU03-T2</t>
  </si>
  <si>
    <t>EP10-HU03-T2</t>
  </si>
  <si>
    <t>EP04-HU02-T2</t>
  </si>
  <si>
    <t>EP01-HU03-T1</t>
  </si>
  <si>
    <t>EP04-HU02-T3</t>
  </si>
  <si>
    <t>GES-S1-T1</t>
  </si>
  <si>
    <t>EP07-HU04-T1</t>
  </si>
  <si>
    <t>EP01-HU03-T2</t>
  </si>
  <si>
    <t>GES-S1-T2</t>
  </si>
  <si>
    <t>EP04-HU03-T1</t>
  </si>
  <si>
    <t>EP07-HU04-T2</t>
  </si>
  <si>
    <t>EP04-HU03-T2</t>
  </si>
  <si>
    <t>EP01-HU03-T3</t>
  </si>
  <si>
    <t>GES-S1-T3</t>
  </si>
  <si>
    <t>EP07-HU04-T3</t>
  </si>
  <si>
    <t>EP04-HU03-T3</t>
  </si>
  <si>
    <t>GES-S1-T4</t>
  </si>
  <si>
    <t>EP01-HU04-T1</t>
  </si>
  <si>
    <t>EP04-HU04-T1</t>
  </si>
  <si>
    <t>EP07-HU05-T1</t>
  </si>
  <si>
    <t>GES-S1-T5</t>
  </si>
  <si>
    <t>EP01-HU04-T2</t>
  </si>
  <si>
    <t>EP04-HU04-T2</t>
  </si>
  <si>
    <t>GES-S1-T6</t>
  </si>
  <si>
    <t>EP07-HU05-T2</t>
  </si>
  <si>
    <t>EP01-HU04-T3</t>
  </si>
  <si>
    <t>EP04-HU04-T3</t>
  </si>
  <si>
    <t>GES-S1-T7</t>
  </si>
  <si>
    <t>EP07-HU05-T3</t>
  </si>
  <si>
    <t>EP02-HU01-T1</t>
  </si>
  <si>
    <t>EP04-HU05-T1</t>
  </si>
  <si>
    <t>GES-S1-T8</t>
  </si>
  <si>
    <t>EP04-HU05-T2</t>
  </si>
  <si>
    <t>EP02-HU01-T2</t>
  </si>
  <si>
    <t>EP08-HU01-T1</t>
  </si>
  <si>
    <t>GES-S1-T9</t>
  </si>
  <si>
    <t>EP04-HU05-T3</t>
  </si>
  <si>
    <t>EP02-HU01-T3</t>
  </si>
  <si>
    <t>GES-S1-T10</t>
  </si>
  <si>
    <t>EP08-HU01-T2</t>
  </si>
  <si>
    <t>EP05-HU01-T1</t>
  </si>
  <si>
    <t>GES-S1-T11</t>
  </si>
  <si>
    <t>EP02-HU02-T1</t>
  </si>
  <si>
    <t>EP08-HU01-T3</t>
  </si>
  <si>
    <t>EP05-HU01-T2</t>
  </si>
  <si>
    <t>GES-S1-T12</t>
  </si>
  <si>
    <t>EP05-HU01-T3</t>
  </si>
  <si>
    <t>EP02-HU02-T2</t>
  </si>
  <si>
    <t>GES-S1-T13</t>
  </si>
  <si>
    <t>EP08-HU02-T1</t>
  </si>
  <si>
    <t>EP05-HU02-T1</t>
  </si>
  <si>
    <t>GES-S1-T14</t>
  </si>
  <si>
    <t>EP02-HU02-T3</t>
  </si>
  <si>
    <t>EP08-HU02-T2</t>
  </si>
  <si>
    <t>EP05-HU02-T2</t>
  </si>
  <si>
    <t>GES-S1-T15</t>
  </si>
  <si>
    <t>EP02-HU03-T1</t>
  </si>
  <si>
    <t>EP05-HU02-T3</t>
  </si>
  <si>
    <t>EP08-HU02-T3</t>
  </si>
  <si>
    <t>Datos del gráfico (no modificar)</t>
  </si>
  <si>
    <t>Día</t>
  </si>
  <si>
    <t>EP02-HU03-T2</t>
  </si>
  <si>
    <t>EP05-HU03-T1</t>
  </si>
  <si>
    <t>EP08-HU03-T1</t>
  </si>
  <si>
    <t>EP05-HU03-T2</t>
  </si>
  <si>
    <t>EP02-HU03-T3</t>
  </si>
  <si>
    <t>EP08-HU03-T2</t>
  </si>
  <si>
    <t>EP05-HU03-T3</t>
  </si>
  <si>
    <t>Horas reales restantes</t>
  </si>
  <si>
    <t>EP02-HU04-T1</t>
  </si>
  <si>
    <t>EP05-HU04-T1</t>
  </si>
  <si>
    <t>EP08-HU03-T3</t>
  </si>
  <si>
    <t>EP05-HU04-T2</t>
  </si>
  <si>
    <t>EP02-HU04-T2</t>
  </si>
  <si>
    <t>EP08-HU04-T1</t>
  </si>
  <si>
    <t>EP05-HU04-T3</t>
  </si>
  <si>
    <t>EP02-HU05-T1</t>
  </si>
  <si>
    <t>EP08-HU04-T2</t>
  </si>
  <si>
    <t>EP06-HU01-T1</t>
  </si>
  <si>
    <t>EP02-HU05-T2</t>
  </si>
  <si>
    <t>EP06-HU01-T2</t>
  </si>
  <si>
    <t>EP08-HU04-T3</t>
  </si>
  <si>
    <t>EP02-HU05-T3</t>
  </si>
  <si>
    <t>EP06-HU01-T3</t>
  </si>
  <si>
    <t>EP08-HU05-T1</t>
  </si>
  <si>
    <t>EP08-HU05-T2</t>
  </si>
  <si>
    <t>EP02-HU06-T1</t>
  </si>
  <si>
    <t>GES-S3-T1</t>
  </si>
  <si>
    <t>EP08-HU05-T3</t>
  </si>
  <si>
    <t>GES-S3-T2</t>
  </si>
  <si>
    <t>EP02-HU06-T2</t>
  </si>
  <si>
    <t>EP08-HU06-T1</t>
  </si>
  <si>
    <t>GES-S3-T3</t>
  </si>
  <si>
    <t>EP02-HU07-T1</t>
  </si>
  <si>
    <t>EP08-HU06-T2</t>
  </si>
  <si>
    <t>EP02-HU07-T2</t>
  </si>
  <si>
    <t>EP08-HU06-T3</t>
  </si>
  <si>
    <t>EP08-HU07-T1</t>
  </si>
  <si>
    <t>EP02-HU07-T3</t>
  </si>
  <si>
    <t>EP08-HU07-T2</t>
  </si>
  <si>
    <t>GES-S2-T1</t>
  </si>
  <si>
    <t>EP08-HU07-T3</t>
  </si>
  <si>
    <t>GES-S2-T2</t>
  </si>
  <si>
    <t>GES-S4-T1</t>
  </si>
  <si>
    <t>GES-S4-T2</t>
  </si>
  <si>
    <t>GES-S2-T3</t>
  </si>
  <si>
    <t>GES-S4-T3</t>
  </si>
  <si>
    <t>GES-S2-T4</t>
  </si>
  <si>
    <t>GES-S4-T4</t>
  </si>
  <si>
    <t>GES-S2-T5</t>
  </si>
  <si>
    <t>GES-S4-T5</t>
  </si>
  <si>
    <t>GES-S2-T6</t>
  </si>
  <si>
    <t>GES-S2-T7</t>
  </si>
  <si>
    <t>GES-S2-T8</t>
  </si>
  <si>
    <t>GES-S2-T9</t>
  </si>
  <si>
    <t>GES-S2-T10</t>
  </si>
  <si>
    <t>Horas ideales restantes</t>
  </si>
  <si>
    <t>Cómo usar el Burndown Chart</t>
  </si>
  <si>
    <t>1. En la celda C3 indique cuántos días hábiles dura el sprint (1 a 15). El gráfico se ajusta solo.</t>
  </si>
  <si>
    <t>2. Copie las tareas del Sprint Backlog (planilla 05) en la columna A y sus horas estimadas en la columna B.</t>
  </si>
  <si>
    <t>3. Al final de cada día, registre en la columna de ese día las horas que FALTAN para terminar cada tarea (0 si está terminada).</t>
  </si>
  <si>
    <t>4. La línea "Horas ideales" muestra el ritmo esperado; la línea "Horas reales" muestra el avance real del equipo.</t>
  </si>
  <si>
    <t>5. Si la línea real queda sobre la ideal, el equipo va atrasado: coméntelo en el Daily Standup.</t>
  </si>
  <si>
    <t>6. Use una copia de este archivo por sprint e inserte el gráfico en el documento 08 Validación del Sprint.</t>
  </si>
  <si>
    <t>Este archivo contiene una hoja por sprint. Sprints 1 a 4: avance real. Sprints 5 y 6: planificados (solo línea ideal hasta ejecutarse).</t>
  </si>
  <si>
    <t>Burndown Chart – Sprint 5 «Configuración y nube» (12/10/2026 – 25/10/2026)</t>
  </si>
  <si>
    <t>Burndown Chart – Sprint 6 «Calidad y cierre» (26/10/2026 – 15/11/2026)</t>
  </si>
  <si>
    <t>Complete solo las celdas verdes. Sprint planificado: se registrarán las horas restantes durante su ejecución. Las tareas de EP09 no aparecen: se terminaron en el Sprint 4.</t>
  </si>
  <si>
    <t>Complete solo las celdas verdes. Sprint planificado: se registrarán las horas restantes durante su ejecución.</t>
  </si>
  <si>
    <t>Día 1
13/10</t>
  </si>
  <si>
    <t>Día 1
26/10</t>
  </si>
  <si>
    <t>Día 2
14/10</t>
  </si>
  <si>
    <t>Día 2
27/10</t>
  </si>
  <si>
    <t>Día 3
15/10</t>
  </si>
  <si>
    <t>Día 3
28/10</t>
  </si>
  <si>
    <t>Día 4
16/10</t>
  </si>
  <si>
    <t>Día 4
29/10</t>
  </si>
  <si>
    <t>Día 5
19/10</t>
  </si>
  <si>
    <t>Día 5
30/10</t>
  </si>
  <si>
    <t>Día 6
20/10</t>
  </si>
  <si>
    <t>Día 6
02/11</t>
  </si>
  <si>
    <t>Día 7
21/10</t>
  </si>
  <si>
    <t>Día 7
03/11</t>
  </si>
  <si>
    <t>Día 8
22/10</t>
  </si>
  <si>
    <t>Día 8
04/11</t>
  </si>
  <si>
    <t>Día 9
23/10</t>
  </si>
  <si>
    <t>Día 9
05/11</t>
  </si>
  <si>
    <t>Día 10
06/11</t>
  </si>
  <si>
    <t>Día 11
09/11</t>
  </si>
  <si>
    <t>Día 12
10/11</t>
  </si>
  <si>
    <t>Día 13
11/11</t>
  </si>
  <si>
    <t>Día 14
12/11</t>
  </si>
  <si>
    <t>Día 15
13/11</t>
  </si>
  <si>
    <t>EP10-HU04-T1</t>
  </si>
  <si>
    <t>EP10-HU07-T1</t>
  </si>
  <si>
    <t>EP10-HU07-T2</t>
  </si>
  <si>
    <t>EP10-HU04-T2</t>
  </si>
  <si>
    <t>EP10-HU07-T3</t>
  </si>
  <si>
    <t>EP10-HU04-T3</t>
  </si>
  <si>
    <t>EP10-HU08-T1</t>
  </si>
  <si>
    <t>EP10-HU08-T2</t>
  </si>
  <si>
    <t>EP10-HU05-T1</t>
  </si>
  <si>
    <t>EP10-HU08-T3</t>
  </si>
  <si>
    <t>EP10-HU09-T1</t>
  </si>
  <si>
    <t>EP10-HU05-T2</t>
  </si>
  <si>
    <t>EP10-HU09-T2</t>
  </si>
  <si>
    <t>EP10-HU06-T1</t>
  </si>
  <si>
    <t>GES-S6-T1</t>
  </si>
  <si>
    <t>EP10-HU06-T2</t>
  </si>
  <si>
    <t>GES-S6-T2</t>
  </si>
  <si>
    <t>GES-S6-T3</t>
  </si>
  <si>
    <t>GES-S5-T1</t>
  </si>
  <si>
    <t>GES-S6-T4</t>
  </si>
  <si>
    <t>GES-S5-T2</t>
  </si>
  <si>
    <t>GES-S6-T5</t>
  </si>
  <si>
    <t>GES-S6-T6</t>
  </si>
  <si>
    <t>GES-S5-T3</t>
  </si>
  <si>
    <t>GES-S6-T7</t>
  </si>
  <si>
    <t>GES-S5-T4</t>
  </si>
  <si>
    <t>GES-S6-T8</t>
  </si>
  <si>
    <t>GES-S6-T9</t>
  </si>
  <si>
    <t>GES-S5-T5</t>
  </si>
  <si>
    <t>GES-S5-T6</t>
  </si>
  <si>
    <t>GES-S6-T10</t>
  </si>
  <si>
    <t>GES-S6-T11</t>
  </si>
  <si>
    <t>GES-S5-T7</t>
  </si>
  <si>
    <t>GES-S6-T12</t>
  </si>
  <si>
    <t>GES-S5-T8</t>
  </si>
  <si>
    <t>GES-S6-T13</t>
  </si>
  <si>
    <t>GES-S5-T9</t>
  </si>
  <si>
    <t>GES-S6-T14</t>
  </si>
  <si>
    <t>GES-S5-T10</t>
  </si>
  <si>
    <t>GES-S6-T15</t>
  </si>
  <si>
    <t>GES-S5-T11</t>
  </si>
  <si>
    <t>GES-S6-T16</t>
  </si>
  <si>
    <t>GES-S5-T12</t>
  </si>
  <si>
    <t>GES-S6-T17</t>
  </si>
  <si>
    <t>GES-S6-T18</t>
  </si>
  <si>
    <t>GES-S5-T13</t>
  </si>
  <si>
    <t>GES-S6-T19</t>
  </si>
  <si>
    <t>GES-S5-T14</t>
  </si>
  <si>
    <t>GES-S6-T20</t>
  </si>
  <si>
    <t>GES-S6-T21</t>
  </si>
  <si>
    <t>GES-S6-T22</t>
  </si>
  <si>
    <t>GES-S6-T23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</si>
</sst>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b/>
      <sz val="14.0"/>
      <color rgb="FF1F3864"/>
      <name val="Calibri"/>
      <scheme val="minor"/>
    </font>
    <font>
      <i/>
      <color rgb="FF7F7F7F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D9E2F3"/>
        <bgColor rgb="FFD9E2F3"/>
      </patternFill>
    </fill>
  </fills>
  <borders count="2">
    <border/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1" fillId="3" fontId="3" numFmtId="0" xfId="0" applyAlignment="1" applyBorder="1" applyFill="1" applyFont="1">
      <alignment horizontal="center" shrinkToFit="0" wrapText="1"/>
    </xf>
    <xf borderId="1" fillId="2" fontId="4" numFmtId="0" xfId="0" applyAlignment="1" applyBorder="1" applyFill="1" applyFont="1">
      <alignment readingOrder="0"/>
    </xf>
    <xf borderId="1" fillId="3" fontId="3" numFmtId="0" xfId="0" applyBorder="1" applyFill="1" applyFont="1"/>
    <xf borderId="1" fillId="0" fontId="4" numFmtId="0" xfId="0" applyBorder="1" applyFont="1"/>
    <xf borderId="1" fillId="0" fontId="4" numFmtId="164" xfId="0" applyBorder="1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Burndown del Sprint 1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'Sprint 1'!$A$33</c:f>
            </c:strRef>
          </c:tx>
          <c:spPr>
            <a:ln cmpd="sng" w="28575">
              <a:solidFill>
                <a:srgbClr val="2A78D6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'Sprint 1'!$B$32:$L$32</c:f>
            </c:strRef>
          </c:cat>
          <c:val>
            <c:numRef>
              <c:f>'Sprint 1'!$B$33:$L$33</c:f>
              <c:numCache/>
            </c:numRef>
          </c:val>
          <c:smooth val="0"/>
        </c:ser>
        <c:ser>
          <c:idx val="1"/>
          <c:order val="1"/>
          <c:tx>
            <c:strRef>
              <c:f>'Sprint 1'!$A$34</c:f>
            </c:strRef>
          </c:tx>
          <c:spPr>
            <a:ln cmpd="sng" w="19050">
              <a:solidFill>
                <a:srgbClr val="8B95A3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1'!$B$32:$L$32</c:f>
            </c:strRef>
          </c:cat>
          <c:val>
            <c:numRef>
              <c:f>'Sprint 1'!$B$34:$L$34</c:f>
              <c:numCache/>
            </c:numRef>
          </c:val>
          <c:smooth val="0"/>
        </c:ser>
        <c:axId val="1011169282"/>
        <c:axId val="1394882800"/>
      </c:lineChart>
      <c:catAx>
        <c:axId val="1011169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Día del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4882800"/>
      </c:catAx>
      <c:valAx>
        <c:axId val="1394882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11692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Burndown del Sprint 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'Sprint 2'!$A$50</c:f>
            </c:strRef>
          </c:tx>
          <c:spPr>
            <a:ln cmpd="sng" w="28575">
              <a:solidFill>
                <a:srgbClr val="2A78D6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'Sprint 2'!$B$49:$Q$49</c:f>
            </c:strRef>
          </c:cat>
          <c:val>
            <c:numRef>
              <c:f>'Sprint 2'!$B$50:$Q$50</c:f>
              <c:numCache/>
            </c:numRef>
          </c:val>
          <c:smooth val="0"/>
        </c:ser>
        <c:ser>
          <c:idx val="1"/>
          <c:order val="1"/>
          <c:tx>
            <c:strRef>
              <c:f>'Sprint 2'!$A$51</c:f>
            </c:strRef>
          </c:tx>
          <c:spPr>
            <a:ln cmpd="sng" w="19050">
              <a:solidFill>
                <a:srgbClr val="8B95A3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2'!$B$49:$Q$49</c:f>
            </c:strRef>
          </c:cat>
          <c:val>
            <c:numRef>
              <c:f>'Sprint 2'!$B$51:$Q$51</c:f>
              <c:numCache/>
            </c:numRef>
          </c:val>
          <c:smooth val="0"/>
        </c:ser>
        <c:axId val="1469859849"/>
        <c:axId val="1511030823"/>
      </c:lineChart>
      <c:catAx>
        <c:axId val="1469859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Día del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1030823"/>
      </c:catAx>
      <c:valAx>
        <c:axId val="15110308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98598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Burndown del Sprint 3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'Sprint 3'!$A$50</c:f>
            </c:strRef>
          </c:tx>
          <c:spPr>
            <a:ln cmpd="sng" w="28575">
              <a:solidFill>
                <a:srgbClr val="2A78D6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'Sprint 3'!$B$49:$K$49</c:f>
            </c:strRef>
          </c:cat>
          <c:val>
            <c:numRef>
              <c:f>'Sprint 3'!$B$50:$K$50</c:f>
              <c:numCache/>
            </c:numRef>
          </c:val>
          <c:smooth val="0"/>
        </c:ser>
        <c:ser>
          <c:idx val="1"/>
          <c:order val="1"/>
          <c:tx>
            <c:strRef>
              <c:f>'Sprint 3'!$A$51</c:f>
            </c:strRef>
          </c:tx>
          <c:spPr>
            <a:ln cmpd="sng" w="19050">
              <a:solidFill>
                <a:srgbClr val="8B95A3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3'!$B$49:$K$49</c:f>
            </c:strRef>
          </c:cat>
          <c:val>
            <c:numRef>
              <c:f>'Sprint 3'!$B$51:$K$51</c:f>
              <c:numCache/>
            </c:numRef>
          </c:val>
          <c:smooth val="0"/>
        </c:ser>
        <c:axId val="455656041"/>
        <c:axId val="1700269031"/>
      </c:lineChart>
      <c:catAx>
        <c:axId val="455656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Día del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0269031"/>
      </c:catAx>
      <c:valAx>
        <c:axId val="1700269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56560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Burndown del Sprint 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'Sprint 4'!$A$49</c:f>
            </c:strRef>
          </c:tx>
          <c:spPr>
            <a:ln cmpd="sng" w="28575">
              <a:solidFill>
                <a:srgbClr val="2A78D6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'Sprint 4'!$B$48:$L$48</c:f>
            </c:strRef>
          </c:cat>
          <c:val>
            <c:numRef>
              <c:f>'Sprint 4'!$B$49:$L$49</c:f>
              <c:numCache/>
            </c:numRef>
          </c:val>
          <c:smooth val="0"/>
        </c:ser>
        <c:ser>
          <c:idx val="1"/>
          <c:order val="1"/>
          <c:tx>
            <c:strRef>
              <c:f>'Sprint 4'!$A$50</c:f>
            </c:strRef>
          </c:tx>
          <c:spPr>
            <a:ln cmpd="sng" w="19050">
              <a:solidFill>
                <a:srgbClr val="8B95A3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4'!$B$48:$L$48</c:f>
            </c:strRef>
          </c:cat>
          <c:val>
            <c:numRef>
              <c:f>'Sprint 4'!$B$50:$L$50</c:f>
              <c:numCache/>
            </c:numRef>
          </c:val>
          <c:smooth val="0"/>
        </c:ser>
        <c:axId val="600839886"/>
        <c:axId val="2061447896"/>
      </c:lineChart>
      <c:catAx>
        <c:axId val="600839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Día del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1447896"/>
      </c:catAx>
      <c:valAx>
        <c:axId val="20614478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08398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Burndown del Sprint 5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'Sprint 5'!$A$30</c:f>
            </c:strRef>
          </c:tx>
          <c:spPr>
            <a:ln cmpd="sng" w="28575">
              <a:solidFill>
                <a:srgbClr val="2A78D6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'Sprint 5'!$B$29:$K$29</c:f>
            </c:strRef>
          </c:cat>
          <c:val>
            <c:numRef>
              <c:f>'Sprint 5'!$B$30:$K$30</c:f>
              <c:numCache/>
            </c:numRef>
          </c:val>
          <c:smooth val="0"/>
        </c:ser>
        <c:ser>
          <c:idx val="1"/>
          <c:order val="1"/>
          <c:tx>
            <c:strRef>
              <c:f>'Sprint 5'!$A$31</c:f>
            </c:strRef>
          </c:tx>
          <c:spPr>
            <a:ln cmpd="sng" w="19050">
              <a:solidFill>
                <a:srgbClr val="8B95A3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5'!$B$29:$K$29</c:f>
            </c:strRef>
          </c:cat>
          <c:val>
            <c:numRef>
              <c:f>'Sprint 5'!$B$31:$K$31</c:f>
              <c:numCache/>
            </c:numRef>
          </c:val>
          <c:smooth val="0"/>
        </c:ser>
        <c:axId val="1299806672"/>
        <c:axId val="569977795"/>
      </c:lineChart>
      <c:catAx>
        <c:axId val="1299806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Día del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9977795"/>
      </c:catAx>
      <c:valAx>
        <c:axId val="569977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98066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Burndown del Sprint 6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'Sprint 6'!$A$40</c:f>
            </c:strRef>
          </c:tx>
          <c:spPr>
            <a:ln cmpd="sng" w="28575">
              <a:solidFill>
                <a:srgbClr val="2A78D6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'Sprint 6'!$B$39:$Q$39</c:f>
            </c:strRef>
          </c:cat>
          <c:val>
            <c:numRef>
              <c:f>'Sprint 6'!$B$40:$Q$40</c:f>
              <c:numCache/>
            </c:numRef>
          </c:val>
          <c:smooth val="0"/>
        </c:ser>
        <c:ser>
          <c:idx val="1"/>
          <c:order val="1"/>
          <c:tx>
            <c:strRef>
              <c:f>'Sprint 6'!$A$41</c:f>
            </c:strRef>
          </c:tx>
          <c:spPr>
            <a:ln cmpd="sng" w="19050">
              <a:solidFill>
                <a:srgbClr val="8B95A3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'Sprint 6'!$B$39:$Q$39</c:f>
            </c:strRef>
          </c:cat>
          <c:val>
            <c:numRef>
              <c:f>'Sprint 6'!$B$41:$Q$41</c:f>
              <c:numCache/>
            </c:numRef>
          </c:val>
          <c:smooth val="0"/>
        </c:ser>
        <c:axId val="1479813656"/>
        <c:axId val="847724848"/>
      </c:lineChart>
      <c:catAx>
        <c:axId val="1479813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Día del sprint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7724848"/>
      </c:catAx>
      <c:valAx>
        <c:axId val="847724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Horas restantes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98136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35</xdr:row>
      <xdr:rowOff>0</xdr:rowOff>
    </xdr:from>
    <xdr:ext cx="6477000" cy="2876550"/>
    <xdr:graphicFrame>
      <xdr:nvGraphicFramePr>
        <xdr:cNvPr id="47471746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52</xdr:row>
      <xdr:rowOff>0</xdr:rowOff>
    </xdr:from>
    <xdr:ext cx="6477000" cy="2876550"/>
    <xdr:graphicFrame>
      <xdr:nvGraphicFramePr>
        <xdr:cNvPr id="67671605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52</xdr:row>
      <xdr:rowOff>0</xdr:rowOff>
    </xdr:from>
    <xdr:ext cx="6477000" cy="2876550"/>
    <xdr:graphicFrame>
      <xdr:nvGraphicFramePr>
        <xdr:cNvPr id="62019402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51</xdr:row>
      <xdr:rowOff>0</xdr:rowOff>
    </xdr:from>
    <xdr:ext cx="6477000" cy="2876550"/>
    <xdr:graphicFrame>
      <xdr:nvGraphicFramePr>
        <xdr:cNvPr id="7482075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0</xdr:rowOff>
    </xdr:from>
    <xdr:ext cx="6477000" cy="2876550"/>
    <xdr:graphicFrame>
      <xdr:nvGraphicFramePr>
        <xdr:cNvPr id="527880269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42</xdr:row>
      <xdr:rowOff>0</xdr:rowOff>
    </xdr:from>
    <xdr:ext cx="6477000" cy="2876550"/>
    <xdr:graphicFrame>
      <xdr:nvGraphicFramePr>
        <xdr:cNvPr id="202854272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6.0"/>
    <col customWidth="1" min="2" max="2" width="11.0"/>
    <col customWidth="1" min="3" max="17" width="7.43"/>
    <col customWidth="1" min="18" max="26" width="8.71"/>
  </cols>
  <sheetData>
    <row r="1">
      <c r="A1" s="1" t="s">
        <v>2</v>
      </c>
    </row>
    <row r="2">
      <c r="A2" s="2" t="s">
        <v>4</v>
      </c>
    </row>
    <row r="3">
      <c r="A3" s="3" t="s">
        <v>6</v>
      </c>
      <c r="C3" s="4">
        <v>10.0</v>
      </c>
    </row>
    <row r="4">
      <c r="D4" s="2" t="s">
        <v>7</v>
      </c>
    </row>
    <row r="5" ht="27.75" customHeight="1">
      <c r="A5" s="5" t="s">
        <v>8</v>
      </c>
      <c r="B5" s="5" t="s">
        <v>9</v>
      </c>
      <c r="C5" s="5" t="s">
        <v>14</v>
      </c>
      <c r="D5" s="5" t="s">
        <v>17</v>
      </c>
      <c r="E5" s="5" t="s">
        <v>20</v>
      </c>
      <c r="F5" s="5" t="s">
        <v>22</v>
      </c>
      <c r="G5" s="5" t="s">
        <v>25</v>
      </c>
      <c r="H5" s="5" t="s">
        <v>29</v>
      </c>
      <c r="I5" s="5" t="s">
        <v>33</v>
      </c>
      <c r="J5" s="5" t="s">
        <v>37</v>
      </c>
      <c r="K5" s="5" t="s">
        <v>41</v>
      </c>
      <c r="L5" s="5" t="s">
        <v>42</v>
      </c>
      <c r="M5" s="5" t="s">
        <v>38</v>
      </c>
      <c r="N5" s="5" t="s">
        <v>43</v>
      </c>
      <c r="O5" s="5" t="s">
        <v>45</v>
      </c>
      <c r="P5" s="5" t="s">
        <v>47</v>
      </c>
      <c r="Q5" s="5" t="s">
        <v>49</v>
      </c>
    </row>
    <row r="6">
      <c r="A6" s="4" t="s">
        <v>50</v>
      </c>
      <c r="B6" s="6">
        <v>3.0</v>
      </c>
      <c r="C6" s="6">
        <v>3.0</v>
      </c>
      <c r="D6" s="4"/>
      <c r="E6" s="4"/>
      <c r="F6" s="4"/>
      <c r="G6" s="4"/>
      <c r="H6" s="4"/>
      <c r="I6" s="4"/>
      <c r="J6" s="4"/>
      <c r="K6" s="4"/>
      <c r="L6" s="4"/>
      <c r="M6" s="6"/>
      <c r="N6" s="4"/>
      <c r="O6" s="4"/>
      <c r="P6" s="4"/>
      <c r="Q6" s="4"/>
    </row>
    <row r="7">
      <c r="A7" s="4" t="s">
        <v>62</v>
      </c>
      <c r="B7" s="6">
        <v>4.0</v>
      </c>
      <c r="C7" s="4"/>
      <c r="D7" s="6">
        <v>4.0</v>
      </c>
      <c r="E7" s="4"/>
      <c r="F7" s="4"/>
      <c r="G7" s="4"/>
      <c r="H7" s="4"/>
      <c r="I7" s="4"/>
      <c r="J7" s="4"/>
      <c r="K7" s="4"/>
      <c r="L7" s="4"/>
      <c r="M7" s="6"/>
      <c r="N7" s="4"/>
      <c r="O7" s="4"/>
      <c r="P7" s="4"/>
      <c r="Q7" s="4"/>
    </row>
    <row r="8">
      <c r="A8" s="4" t="s">
        <v>69</v>
      </c>
      <c r="B8" s="6">
        <v>4.0</v>
      </c>
      <c r="C8" s="6">
        <v>4.0</v>
      </c>
      <c r="D8" s="4"/>
      <c r="E8" s="4"/>
      <c r="F8" s="4"/>
      <c r="G8" s="4"/>
      <c r="H8" s="4"/>
      <c r="I8" s="4"/>
      <c r="J8" s="4"/>
      <c r="K8" s="4"/>
      <c r="L8" s="4"/>
      <c r="M8" s="6"/>
      <c r="N8" s="4"/>
      <c r="O8" s="4"/>
      <c r="P8" s="4"/>
      <c r="Q8" s="4"/>
    </row>
    <row r="9">
      <c r="A9" s="4" t="s">
        <v>72</v>
      </c>
      <c r="B9" s="6">
        <v>4.0</v>
      </c>
      <c r="C9" s="6">
        <v>3.0</v>
      </c>
      <c r="D9" s="6">
        <v>1.0</v>
      </c>
      <c r="E9" s="4"/>
      <c r="F9" s="4"/>
      <c r="G9" s="4"/>
      <c r="H9" s="4"/>
      <c r="I9" s="4"/>
      <c r="J9" s="4"/>
      <c r="K9" s="4"/>
      <c r="L9" s="4"/>
      <c r="M9" s="6"/>
      <c r="N9" s="4"/>
      <c r="O9" s="4"/>
      <c r="P9" s="4"/>
      <c r="Q9" s="4"/>
    </row>
    <row r="10">
      <c r="A10" s="4" t="s">
        <v>76</v>
      </c>
      <c r="B10" s="6">
        <v>5.0</v>
      </c>
      <c r="C10" s="4"/>
      <c r="D10" s="6">
        <v>2.0</v>
      </c>
      <c r="E10" s="6">
        <v>3.0</v>
      </c>
      <c r="F10" s="4"/>
      <c r="G10" s="4"/>
      <c r="H10" s="4"/>
      <c r="I10" s="4"/>
      <c r="J10" s="4"/>
      <c r="K10" s="4"/>
      <c r="L10" s="4"/>
      <c r="M10" s="6"/>
      <c r="N10" s="4"/>
      <c r="O10" s="4"/>
      <c r="P10" s="4"/>
      <c r="Q10" s="4"/>
    </row>
    <row r="11">
      <c r="A11" s="4" t="s">
        <v>81</v>
      </c>
      <c r="B11" s="6">
        <v>5.0</v>
      </c>
      <c r="C11" s="4"/>
      <c r="D11" s="4"/>
      <c r="E11" s="6">
        <v>3.0</v>
      </c>
      <c r="F11" s="6">
        <v>2.0</v>
      </c>
      <c r="G11" s="4"/>
      <c r="H11" s="4"/>
      <c r="I11" s="4"/>
      <c r="J11" s="4"/>
      <c r="K11" s="4"/>
      <c r="L11" s="4"/>
      <c r="M11" s="6"/>
      <c r="N11" s="4"/>
      <c r="O11" s="4"/>
      <c r="P11" s="4"/>
      <c r="Q11" s="4"/>
    </row>
    <row r="12">
      <c r="A12" s="4" t="s">
        <v>87</v>
      </c>
      <c r="B12" s="6">
        <v>3.0</v>
      </c>
      <c r="C12" s="4"/>
      <c r="D12" s="4"/>
      <c r="E12" s="6">
        <v>1.0</v>
      </c>
      <c r="F12" s="6">
        <v>2.0</v>
      </c>
      <c r="G12" s="4"/>
      <c r="H12" s="4"/>
      <c r="I12" s="4"/>
      <c r="J12" s="4"/>
      <c r="K12" s="4"/>
      <c r="L12" s="4"/>
      <c r="M12" s="6"/>
      <c r="N12" s="4"/>
      <c r="O12" s="4"/>
      <c r="P12" s="4"/>
      <c r="Q12" s="4"/>
    </row>
    <row r="13">
      <c r="A13" s="4" t="s">
        <v>92</v>
      </c>
      <c r="B13" s="6">
        <v>5.0</v>
      </c>
      <c r="C13" s="4"/>
      <c r="D13" s="6">
        <v>3.0</v>
      </c>
      <c r="E13" s="6">
        <v>2.0</v>
      </c>
      <c r="F13" s="4"/>
      <c r="G13" s="4"/>
      <c r="H13" s="4"/>
      <c r="I13" s="4"/>
      <c r="J13" s="4"/>
      <c r="K13" s="4"/>
      <c r="L13" s="4"/>
      <c r="M13" s="6"/>
      <c r="N13" s="4"/>
      <c r="O13" s="4"/>
      <c r="P13" s="4"/>
      <c r="Q13" s="4"/>
    </row>
    <row r="14">
      <c r="A14" s="4" t="s">
        <v>94</v>
      </c>
      <c r="B14" s="6">
        <v>2.0</v>
      </c>
      <c r="C14" s="4"/>
      <c r="D14" s="4"/>
      <c r="E14" s="6">
        <v>1.0</v>
      </c>
      <c r="F14" s="6">
        <v>1.0</v>
      </c>
      <c r="G14" s="4"/>
      <c r="H14" s="4"/>
      <c r="I14" s="4"/>
      <c r="J14" s="4"/>
      <c r="K14" s="4"/>
      <c r="L14" s="4"/>
      <c r="M14" s="6"/>
      <c r="N14" s="4"/>
      <c r="O14" s="4"/>
      <c r="P14" s="4"/>
      <c r="Q14" s="4"/>
    </row>
    <row r="15">
      <c r="A15" s="4" t="s">
        <v>98</v>
      </c>
      <c r="B15" s="6">
        <v>8.0</v>
      </c>
      <c r="C15" s="4"/>
      <c r="D15" s="4"/>
      <c r="E15" s="4"/>
      <c r="F15" s="6">
        <v>1.0</v>
      </c>
      <c r="G15" s="6">
        <v>3.0</v>
      </c>
      <c r="H15" s="6">
        <v>4.0</v>
      </c>
      <c r="I15" s="4"/>
      <c r="J15" s="4"/>
      <c r="K15" s="4"/>
      <c r="L15" s="4"/>
      <c r="M15" s="6"/>
      <c r="N15" s="4"/>
      <c r="O15" s="4"/>
      <c r="P15" s="4"/>
      <c r="Q15" s="4"/>
    </row>
    <row r="16">
      <c r="A16" s="4" t="s">
        <v>101</v>
      </c>
      <c r="B16" s="6">
        <v>4.0</v>
      </c>
      <c r="C16" s="4"/>
      <c r="D16" s="4"/>
      <c r="E16" s="4"/>
      <c r="F16" s="6">
        <v>3.0</v>
      </c>
      <c r="G16" s="6">
        <v>1.0</v>
      </c>
      <c r="H16" s="4"/>
      <c r="I16" s="4"/>
      <c r="J16" s="4"/>
      <c r="K16" s="4"/>
      <c r="L16" s="4"/>
      <c r="M16" s="6"/>
      <c r="N16" s="4"/>
      <c r="O16" s="4"/>
      <c r="P16" s="4"/>
      <c r="Q16" s="4"/>
    </row>
    <row r="17">
      <c r="A17" s="4" t="s">
        <v>106</v>
      </c>
      <c r="B17" s="6">
        <v>4.0</v>
      </c>
      <c r="C17" s="4"/>
      <c r="D17" s="4"/>
      <c r="E17" s="4"/>
      <c r="F17" s="4"/>
      <c r="G17" s="4"/>
      <c r="H17" s="4"/>
      <c r="I17" s="6">
        <v>3.0</v>
      </c>
      <c r="J17" s="6">
        <v>1.0</v>
      </c>
      <c r="K17" s="4"/>
      <c r="L17" s="4"/>
      <c r="M17" s="6"/>
      <c r="N17" s="4"/>
      <c r="O17" s="4"/>
      <c r="P17" s="4"/>
      <c r="Q17" s="4"/>
    </row>
    <row r="18">
      <c r="A18" s="4" t="s">
        <v>109</v>
      </c>
      <c r="B18" s="6">
        <v>4.0</v>
      </c>
      <c r="C18" s="4"/>
      <c r="D18" s="4"/>
      <c r="E18" s="4"/>
      <c r="F18" s="6">
        <v>1.0</v>
      </c>
      <c r="G18" s="6">
        <v>3.0</v>
      </c>
      <c r="H18" s="4"/>
      <c r="I18" s="4"/>
      <c r="J18" s="4"/>
      <c r="K18" s="4"/>
      <c r="L18" s="4"/>
      <c r="M18" s="6"/>
      <c r="N18" s="4"/>
      <c r="O18" s="4"/>
      <c r="P18" s="4"/>
      <c r="Q18" s="4"/>
    </row>
    <row r="19">
      <c r="A19" s="4" t="s">
        <v>113</v>
      </c>
      <c r="B19" s="6">
        <v>4.0</v>
      </c>
      <c r="C19" s="4"/>
      <c r="D19" s="4"/>
      <c r="E19" s="4"/>
      <c r="F19" s="4"/>
      <c r="G19" s="6">
        <v>1.0</v>
      </c>
      <c r="H19" s="6">
        <v>3.0</v>
      </c>
      <c r="I19" s="4"/>
      <c r="J19" s="4"/>
      <c r="K19" s="4"/>
      <c r="L19" s="4"/>
      <c r="M19" s="6"/>
      <c r="N19" s="4"/>
      <c r="O19" s="4"/>
      <c r="P19" s="4"/>
      <c r="Q19" s="4"/>
    </row>
    <row r="20">
      <c r="A20" s="4" t="s">
        <v>116</v>
      </c>
      <c r="B20" s="6">
        <v>8.0</v>
      </c>
      <c r="C20" s="4"/>
      <c r="D20" s="4"/>
      <c r="E20" s="4"/>
      <c r="F20" s="4"/>
      <c r="G20" s="6">
        <v>3.0</v>
      </c>
      <c r="H20" s="6">
        <v>4.0</v>
      </c>
      <c r="I20" s="6">
        <v>1.0</v>
      </c>
      <c r="J20" s="4"/>
      <c r="K20" s="4"/>
      <c r="L20" s="4"/>
      <c r="M20" s="6"/>
      <c r="N20" s="4"/>
      <c r="O20" s="4"/>
      <c r="P20" s="4"/>
      <c r="Q20" s="4"/>
    </row>
    <row r="21" ht="15.75" customHeight="1">
      <c r="A21" s="4" t="s">
        <v>120</v>
      </c>
      <c r="B21" s="6">
        <v>6.0</v>
      </c>
      <c r="C21" s="4"/>
      <c r="D21" s="4"/>
      <c r="E21" s="4"/>
      <c r="F21" s="4"/>
      <c r="G21" s="4"/>
      <c r="H21" s="4"/>
      <c r="I21" s="6">
        <v>3.0</v>
      </c>
      <c r="J21" s="6">
        <v>3.0</v>
      </c>
      <c r="K21" s="4"/>
      <c r="L21" s="4"/>
      <c r="M21" s="6"/>
      <c r="N21" s="4"/>
      <c r="O21" s="4"/>
      <c r="P21" s="4"/>
      <c r="Q21" s="4"/>
    </row>
    <row r="22" ht="15.75" customHeight="1">
      <c r="A22" s="4" t="s">
        <v>124</v>
      </c>
      <c r="B22" s="6">
        <v>6.0</v>
      </c>
      <c r="C22" s="4"/>
      <c r="D22" s="4"/>
      <c r="E22" s="4"/>
      <c r="F22" s="4"/>
      <c r="G22" s="4"/>
      <c r="H22" s="4"/>
      <c r="I22" s="4"/>
      <c r="J22" s="6">
        <v>3.0</v>
      </c>
      <c r="K22" s="6">
        <v>2.0</v>
      </c>
      <c r="L22" s="6">
        <v>1.0</v>
      </c>
      <c r="M22" s="6"/>
      <c r="N22" s="4"/>
      <c r="O22" s="4"/>
      <c r="P22" s="4"/>
      <c r="Q22" s="4"/>
    </row>
    <row r="23" ht="15.75" customHeight="1">
      <c r="A23" s="4" t="s">
        <v>128</v>
      </c>
      <c r="B23" s="6">
        <v>4.0</v>
      </c>
      <c r="C23" s="4"/>
      <c r="D23" s="4"/>
      <c r="E23" s="4"/>
      <c r="F23" s="4"/>
      <c r="G23" s="4"/>
      <c r="H23" s="4"/>
      <c r="I23" s="4"/>
      <c r="J23" s="4"/>
      <c r="K23" s="6">
        <v>4.0</v>
      </c>
      <c r="L23" s="4"/>
      <c r="M23" s="6"/>
      <c r="N23" s="4"/>
      <c r="O23" s="4"/>
      <c r="P23" s="4"/>
      <c r="Q23" s="4"/>
    </row>
    <row r="24" ht="15.75" customHeight="1">
      <c r="A24" s="4" t="s">
        <v>131</v>
      </c>
      <c r="B24" s="6">
        <v>3.0</v>
      </c>
      <c r="C24" s="4"/>
      <c r="D24" s="4"/>
      <c r="E24" s="4"/>
      <c r="F24" s="4"/>
      <c r="G24" s="4"/>
      <c r="H24" s="4"/>
      <c r="I24" s="6">
        <v>3.0</v>
      </c>
      <c r="J24" s="4"/>
      <c r="K24" s="4"/>
      <c r="L24" s="4"/>
      <c r="M24" s="6"/>
      <c r="N24" s="4"/>
      <c r="O24" s="4"/>
      <c r="P24" s="4"/>
      <c r="Q24" s="4"/>
    </row>
    <row r="25" ht="15.75" customHeight="1">
      <c r="A25" s="4" t="s">
        <v>134</v>
      </c>
      <c r="B25" s="6">
        <v>4.0</v>
      </c>
      <c r="C25" s="4"/>
      <c r="D25" s="4"/>
      <c r="E25" s="4"/>
      <c r="F25" s="4"/>
      <c r="G25" s="4"/>
      <c r="H25" s="4"/>
      <c r="I25" s="6">
        <v>1.0</v>
      </c>
      <c r="J25" s="6">
        <v>3.0</v>
      </c>
      <c r="K25" s="4"/>
      <c r="L25" s="4"/>
      <c r="M25" s="6"/>
      <c r="N25" s="4"/>
      <c r="O25" s="4"/>
      <c r="P25" s="4"/>
      <c r="Q25" s="4"/>
    </row>
    <row r="26" ht="15.75" customHeight="1">
      <c r="A26" s="4" t="s">
        <v>138</v>
      </c>
      <c r="B26" s="6">
        <v>4.0</v>
      </c>
      <c r="C26" s="4"/>
      <c r="D26" s="4"/>
      <c r="E26" s="4"/>
      <c r="F26" s="4"/>
      <c r="G26" s="4"/>
      <c r="H26" s="4"/>
      <c r="I26" s="4"/>
      <c r="J26" s="6">
        <v>1.0</v>
      </c>
      <c r="K26" s="6">
        <v>3.0</v>
      </c>
      <c r="L26" s="4"/>
      <c r="M26" s="6"/>
      <c r="N26" s="4"/>
      <c r="O26" s="4"/>
      <c r="P26" s="4"/>
      <c r="Q26" s="4"/>
    </row>
    <row r="27" ht="15.75" customHeight="1">
      <c r="A27" s="4" t="s">
        <v>141</v>
      </c>
      <c r="B27" s="6">
        <v>3.0</v>
      </c>
      <c r="C27" s="4"/>
      <c r="D27" s="4"/>
      <c r="E27" s="4"/>
      <c r="F27" s="4"/>
      <c r="G27" s="4"/>
      <c r="H27" s="4"/>
      <c r="I27" s="4"/>
      <c r="J27" s="4"/>
      <c r="K27" s="4"/>
      <c r="L27" s="6">
        <v>3.0</v>
      </c>
      <c r="M27" s="6"/>
      <c r="N27" s="4"/>
      <c r="O27" s="4"/>
      <c r="P27" s="4"/>
      <c r="Q27" s="4"/>
    </row>
    <row r="28" ht="15.75" customHeight="1">
      <c r="A28" s="4" t="s">
        <v>144</v>
      </c>
      <c r="B28" s="6">
        <v>3.0</v>
      </c>
      <c r="C28" s="4"/>
      <c r="D28" s="4"/>
      <c r="E28" s="4"/>
      <c r="F28" s="4"/>
      <c r="G28" s="4"/>
      <c r="H28" s="4"/>
      <c r="I28" s="4"/>
      <c r="J28" s="4"/>
      <c r="K28" s="4"/>
      <c r="L28" s="6">
        <v>3.0</v>
      </c>
      <c r="M28" s="6"/>
      <c r="N28" s="4"/>
      <c r="O28" s="4"/>
      <c r="P28" s="4"/>
      <c r="Q28" s="4"/>
    </row>
    <row r="29" ht="15.75" customHeight="1">
      <c r="A29" s="4" t="s">
        <v>148</v>
      </c>
      <c r="B29" s="6">
        <v>3.0</v>
      </c>
      <c r="C29" s="4"/>
      <c r="D29" s="4"/>
      <c r="E29" s="4"/>
      <c r="F29" s="4"/>
      <c r="G29" s="4"/>
      <c r="H29" s="4"/>
      <c r="I29" s="4"/>
      <c r="J29" s="4"/>
      <c r="K29" s="4"/>
      <c r="L29" s="6">
        <v>3.0</v>
      </c>
      <c r="M29" s="6"/>
      <c r="N29" s="4"/>
      <c r="O29" s="4"/>
      <c r="P29" s="4"/>
      <c r="Q29" s="4"/>
    </row>
    <row r="30" ht="15.75" customHeight="1"/>
    <row r="31" ht="15.75" customHeight="1">
      <c r="A31" s="3" t="s">
        <v>152</v>
      </c>
    </row>
    <row r="32" ht="15.75" customHeight="1">
      <c r="A32" s="7" t="s">
        <v>153</v>
      </c>
      <c r="B32" s="7">
        <v>0.0</v>
      </c>
      <c r="C32" s="7">
        <v>1.0</v>
      </c>
      <c r="D32" s="7">
        <v>2.0</v>
      </c>
      <c r="E32" s="7">
        <v>3.0</v>
      </c>
      <c r="F32" s="7">
        <v>4.0</v>
      </c>
      <c r="G32" s="7">
        <v>5.0</v>
      </c>
      <c r="H32" s="7">
        <v>6.0</v>
      </c>
      <c r="I32" s="7">
        <v>7.0</v>
      </c>
      <c r="J32" s="7">
        <v>8.0</v>
      </c>
      <c r="K32" s="7">
        <v>9.0</v>
      </c>
      <c r="L32" s="7">
        <v>10.0</v>
      </c>
      <c r="M32" s="7">
        <v>11.0</v>
      </c>
      <c r="N32" s="7">
        <v>12.0</v>
      </c>
      <c r="O32" s="7">
        <v>13.0</v>
      </c>
      <c r="P32" s="7">
        <v>14.0</v>
      </c>
      <c r="Q32" s="7">
        <v>15.0</v>
      </c>
    </row>
    <row r="33" ht="15.75" customHeight="1">
      <c r="A33" s="7" t="s">
        <v>161</v>
      </c>
      <c r="B33" s="8">
        <f>SUM(B6:B29)</f>
        <v>103</v>
      </c>
      <c r="C33" s="8">
        <f>IF(1&gt;$C$3,NA(),IF(COUNT(C6:C29)=0,NA(),SUM(C6:C29)))</f>
        <v>10</v>
      </c>
      <c r="D33" s="8">
        <f>IF(2&gt;$C$3,NA(),IF(COUNT(D6:D29)=0,NA(),SUM(D6:D29)))</f>
        <v>10</v>
      </c>
      <c r="E33" s="8">
        <f>IF(3&gt;$C$3,NA(),IF(COUNT(E6:E29)=0,NA(),SUM(E6:E29)))</f>
        <v>10</v>
      </c>
      <c r="F33" s="8">
        <f>IF(4&gt;$C$3,NA(),IF(COUNT(F6:F29)=0,NA(),SUM(F6:F29)))</f>
        <v>10</v>
      </c>
      <c r="G33" s="8">
        <f>IF(5&gt;$C$3,NA(),IF(COUNT(G6:G29)=0,NA(),SUM(G6:G29)))</f>
        <v>11</v>
      </c>
      <c r="H33" s="8">
        <f>IF(6&gt;$C$3,NA(),IF(COUNT(H6:H29)=0,NA(),SUM(H6:H29)))</f>
        <v>11</v>
      </c>
      <c r="I33" s="8">
        <f>IF(7&gt;$C$3,NA(),IF(COUNT(I6:I29)=0,NA(),SUM(I6:I29)))</f>
        <v>11</v>
      </c>
      <c r="J33" s="8">
        <f>IF(8&gt;$C$3,NA(),IF(COUNT(J6:J29)=0,NA(),SUM(J6:J29)))</f>
        <v>11</v>
      </c>
      <c r="K33" s="8">
        <f>IF(9&gt;$C$3,NA(),IF(COUNT(K6:K29)=0,NA(),SUM(K6:K29)))</f>
        <v>9</v>
      </c>
      <c r="L33" s="8">
        <f>IF(10&gt;$C$3,NA(),IF(COUNT(L6:L29)=0,NA(),SUM(L6:L29)))</f>
        <v>10</v>
      </c>
      <c r="M33" s="8" t="str">
        <f>IF(11&gt;$C$3,NA(),IF(COUNT(M6:M29)=0,NA(),SUM(M6:M29)))</f>
        <v>#N/A</v>
      </c>
      <c r="N33" s="8" t="str">
        <f>IF(12&gt;$C$3,NA(),IF(COUNT(N6:N29)=0,NA(),SUM(N6:N29)))</f>
        <v>#N/A</v>
      </c>
      <c r="O33" s="8" t="str">
        <f>IF(13&gt;$C$3,NA(),IF(COUNT(O6:O29)=0,NA(),SUM(O6:O29)))</f>
        <v>#N/A</v>
      </c>
      <c r="P33" s="8" t="str">
        <f>IF(14&gt;$C$3,NA(),IF(COUNT(P6:P29)=0,NA(),SUM(P6:P29)))</f>
        <v>#N/A</v>
      </c>
      <c r="Q33" s="8" t="str">
        <f>IF(15&gt;$C$3,NA(),IF(COUNT(Q6:Q29)=0,NA(),SUM(Q6:Q29)))</f>
        <v>#N/A</v>
      </c>
    </row>
    <row r="34" ht="15.75" customHeight="1">
      <c r="A34" s="7" t="s">
        <v>209</v>
      </c>
      <c r="B34" s="9">
        <f>IF(0&gt;$C$3,NA(),$B$33*(1-0/$C$3))</f>
        <v>103</v>
      </c>
      <c r="C34" s="9">
        <f>IF(1&gt;$C$3,NA(),$B$33*(1-1/$C$3))</f>
        <v>92.7</v>
      </c>
      <c r="D34" s="9">
        <f>IF(2&gt;$C$3,NA(),$B$33*(1-2/$C$3))</f>
        <v>82.4</v>
      </c>
      <c r="E34" s="9">
        <f>IF(3&gt;$C$3,NA(),$B$33*(1-3/$C$3))</f>
        <v>72.1</v>
      </c>
      <c r="F34" s="9">
        <f>IF(4&gt;$C$3,NA(),$B$33*(1-4/$C$3))</f>
        <v>61.8</v>
      </c>
      <c r="G34" s="9">
        <f>IF(5&gt;$C$3,NA(),$B$33*(1-5/$C$3))</f>
        <v>51.5</v>
      </c>
      <c r="H34" s="9">
        <f>IF(6&gt;$C$3,NA(),$B$33*(1-6/$C$3))</f>
        <v>41.2</v>
      </c>
      <c r="I34" s="9">
        <f>IF(7&gt;$C$3,NA(),$B$33*(1-7/$C$3))</f>
        <v>30.9</v>
      </c>
      <c r="J34" s="9">
        <f>IF(8&gt;$C$3,NA(),$B$33*(1-8/$C$3))</f>
        <v>20.6</v>
      </c>
      <c r="K34" s="9">
        <f>IF(9&gt;$C$3,NA(),$B$33*(1-9/$C$3))</f>
        <v>10.3</v>
      </c>
      <c r="L34" s="9">
        <f>IF(10&gt;$C$3,NA(),$B$33*(1-10/$C$3))</f>
        <v>0</v>
      </c>
      <c r="M34" s="9" t="str">
        <f>IF(11&gt;$C$3,NA(),$B$33*(1-11/$C$3))</f>
        <v>#N/A</v>
      </c>
      <c r="N34" s="9" t="str">
        <f>IF(12&gt;$C$3,NA(),$B$33*(1-12/$C$3))</f>
        <v>#N/A</v>
      </c>
      <c r="O34" s="9" t="str">
        <f>IF(13&gt;$C$3,NA(),$B$33*(1-13/$C$3))</f>
        <v>#N/A</v>
      </c>
      <c r="P34" s="9" t="str">
        <f>IF(14&gt;$C$3,NA(),$B$33*(1-14/$C$3))</f>
        <v>#N/A</v>
      </c>
      <c r="Q34" s="9" t="str">
        <f>IF(15&gt;$C$3,NA(),$B$33*(1-15/$C$3))</f>
        <v>#N/A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6.0"/>
    <col customWidth="1" min="2" max="2" width="11.0"/>
    <col customWidth="1" min="3" max="17" width="7.43"/>
    <col customWidth="1" min="18" max="26" width="8.71"/>
  </cols>
  <sheetData>
    <row r="1">
      <c r="A1" s="1" t="s">
        <v>1</v>
      </c>
    </row>
    <row r="2">
      <c r="A2" s="2" t="s">
        <v>4</v>
      </c>
    </row>
    <row r="3">
      <c r="A3" s="3" t="s">
        <v>6</v>
      </c>
      <c r="C3" s="4">
        <v>15.0</v>
      </c>
    </row>
    <row r="4">
      <c r="D4" s="2" t="s">
        <v>7</v>
      </c>
    </row>
    <row r="5" ht="27.75" customHeight="1">
      <c r="A5" s="5" t="s">
        <v>8</v>
      </c>
      <c r="B5" s="5" t="s">
        <v>9</v>
      </c>
      <c r="C5" s="5" t="s">
        <v>12</v>
      </c>
      <c r="D5" s="5" t="s">
        <v>15</v>
      </c>
      <c r="E5" s="5" t="s">
        <v>18</v>
      </c>
      <c r="F5" s="5" t="s">
        <v>23</v>
      </c>
      <c r="G5" s="5" t="s">
        <v>27</v>
      </c>
      <c r="H5" s="5" t="s">
        <v>32</v>
      </c>
      <c r="I5" s="5" t="s">
        <v>36</v>
      </c>
      <c r="J5" s="5" t="s">
        <v>39</v>
      </c>
      <c r="K5" s="5" t="s">
        <v>53</v>
      </c>
      <c r="L5" s="5" t="s">
        <v>56</v>
      </c>
      <c r="M5" s="5" t="s">
        <v>57</v>
      </c>
      <c r="N5" s="5" t="s">
        <v>59</v>
      </c>
      <c r="O5" s="5" t="s">
        <v>61</v>
      </c>
      <c r="P5" s="5" t="s">
        <v>63</v>
      </c>
      <c r="Q5" s="5" t="s">
        <v>65</v>
      </c>
    </row>
    <row r="6">
      <c r="A6" s="4" t="s">
        <v>67</v>
      </c>
      <c r="B6" s="4">
        <v>4.0</v>
      </c>
      <c r="C6" s="4">
        <v>1.0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</row>
    <row r="7">
      <c r="A7" s="4" t="s">
        <v>73</v>
      </c>
      <c r="B7" s="4">
        <v>4.0</v>
      </c>
      <c r="C7" s="4">
        <v>1.0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</row>
    <row r="8">
      <c r="A8" s="4" t="s">
        <v>78</v>
      </c>
      <c r="B8" s="4">
        <v>2.0</v>
      </c>
      <c r="C8" s="4">
        <v>2.0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</row>
    <row r="9">
      <c r="A9" s="4" t="s">
        <v>82</v>
      </c>
      <c r="B9" s="4">
        <v>4.0</v>
      </c>
      <c r="C9" s="4">
        <v>4.0</v>
      </c>
      <c r="D9" s="4">
        <v>3.0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</row>
    <row r="10">
      <c r="A10" s="4" t="s">
        <v>86</v>
      </c>
      <c r="B10" s="4">
        <v>4.0</v>
      </c>
      <c r="C10" s="4">
        <v>4.0</v>
      </c>
      <c r="D10" s="4">
        <v>3.0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</row>
    <row r="11">
      <c r="A11" s="4" t="s">
        <v>91</v>
      </c>
      <c r="B11" s="4">
        <v>2.0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</row>
    <row r="12">
      <c r="A12" s="4" t="s">
        <v>96</v>
      </c>
      <c r="B12" s="4">
        <v>8.0</v>
      </c>
      <c r="C12" s="4">
        <v>7.0</v>
      </c>
      <c r="D12" s="4">
        <v>4.0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</row>
    <row r="13">
      <c r="A13" s="4" t="s">
        <v>100</v>
      </c>
      <c r="B13" s="4">
        <v>7.0</v>
      </c>
      <c r="C13" s="4">
        <v>7.0</v>
      </c>
      <c r="D13" s="4">
        <v>7.0</v>
      </c>
      <c r="E13" s="4">
        <v>6.0</v>
      </c>
      <c r="F13" s="4">
        <v>4.0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</row>
    <row r="14">
      <c r="A14" s="4" t="s">
        <v>105</v>
      </c>
      <c r="B14" s="4">
        <v>4.0</v>
      </c>
      <c r="C14" s="4">
        <v>4.0</v>
      </c>
      <c r="D14" s="4">
        <v>4.0</v>
      </c>
      <c r="E14" s="4">
        <v>4.0</v>
      </c>
      <c r="F14" s="4">
        <v>1.0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</row>
    <row r="15">
      <c r="A15" s="4" t="s">
        <v>110</v>
      </c>
      <c r="B15" s="4">
        <v>3.0</v>
      </c>
      <c r="C15" s="4">
        <v>3.0</v>
      </c>
      <c r="D15" s="4">
        <v>3.0</v>
      </c>
      <c r="E15" s="4">
        <v>3.0</v>
      </c>
      <c r="F15" s="4">
        <v>3.0</v>
      </c>
      <c r="G15" s="4">
        <v>1.0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</row>
    <row r="16">
      <c r="A16" s="4" t="s">
        <v>114</v>
      </c>
      <c r="B16" s="4">
        <v>2.0</v>
      </c>
      <c r="C16" s="4">
        <v>2.0</v>
      </c>
      <c r="D16" s="4">
        <v>2.0</v>
      </c>
      <c r="E16" s="4">
        <v>2.0</v>
      </c>
      <c r="F16" s="4">
        <v>2.0</v>
      </c>
      <c r="G16" s="4">
        <v>2.0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</row>
    <row r="17">
      <c r="A17" s="4" t="s">
        <v>118</v>
      </c>
      <c r="B17" s="4">
        <v>2.0</v>
      </c>
      <c r="C17" s="4">
        <v>2.0</v>
      </c>
      <c r="D17" s="4">
        <v>2.0</v>
      </c>
      <c r="E17" s="4">
        <v>2.0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</row>
    <row r="18">
      <c r="A18" s="4" t="s">
        <v>122</v>
      </c>
      <c r="B18" s="4">
        <v>4.0</v>
      </c>
      <c r="C18" s="4">
        <v>4.0</v>
      </c>
      <c r="D18" s="4">
        <v>4.0</v>
      </c>
      <c r="E18" s="4">
        <v>4.0</v>
      </c>
      <c r="F18" s="4">
        <v>4.0</v>
      </c>
      <c r="G18" s="4">
        <v>1.0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</row>
    <row r="19">
      <c r="A19" s="4" t="s">
        <v>126</v>
      </c>
      <c r="B19" s="4">
        <v>4.0</v>
      </c>
      <c r="C19" s="4">
        <v>4.0</v>
      </c>
      <c r="D19" s="4">
        <v>4.0</v>
      </c>
      <c r="E19" s="4">
        <v>4.0</v>
      </c>
      <c r="F19" s="4">
        <v>4.0</v>
      </c>
      <c r="G19" s="4">
        <v>4.0</v>
      </c>
      <c r="H19" s="4">
        <v>3.0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</row>
    <row r="20">
      <c r="A20" s="4" t="s">
        <v>130</v>
      </c>
      <c r="B20" s="4">
        <v>2.0</v>
      </c>
      <c r="C20" s="4">
        <v>2.0</v>
      </c>
      <c r="D20" s="4">
        <v>2.0</v>
      </c>
      <c r="E20" s="4">
        <v>2.0</v>
      </c>
      <c r="F20" s="4">
        <v>2.0</v>
      </c>
      <c r="G20" s="4">
        <v>2.0</v>
      </c>
      <c r="H20" s="4">
        <v>1.0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</row>
    <row r="21" ht="15.75" customHeight="1">
      <c r="A21" s="4" t="s">
        <v>135</v>
      </c>
      <c r="B21" s="4">
        <v>3.0</v>
      </c>
      <c r="C21" s="4">
        <v>3.0</v>
      </c>
      <c r="D21" s="4">
        <v>3.0</v>
      </c>
      <c r="E21" s="4">
        <v>3.0</v>
      </c>
      <c r="F21" s="4">
        <v>3.0</v>
      </c>
      <c r="G21" s="4">
        <v>3.0</v>
      </c>
      <c r="H21" s="4">
        <v>3.0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</row>
    <row r="22" ht="15.75" customHeight="1">
      <c r="A22" s="4" t="s">
        <v>140</v>
      </c>
      <c r="B22" s="4">
        <v>2.0</v>
      </c>
      <c r="C22" s="4">
        <v>2.0</v>
      </c>
      <c r="D22" s="4">
        <v>2.0</v>
      </c>
      <c r="E22" s="4">
        <v>2.0</v>
      </c>
      <c r="F22" s="4">
        <v>2.0</v>
      </c>
      <c r="G22" s="4">
        <v>2.0</v>
      </c>
      <c r="H22" s="4">
        <v>2.0</v>
      </c>
      <c r="I22" s="4">
        <v>2.0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</row>
    <row r="23" ht="15.75" customHeight="1">
      <c r="A23" s="4" t="s">
        <v>145</v>
      </c>
      <c r="B23" s="4">
        <v>2.0</v>
      </c>
      <c r="C23" s="4">
        <v>2.0</v>
      </c>
      <c r="D23" s="4">
        <v>2.0</v>
      </c>
      <c r="E23" s="4">
        <v>2.0</v>
      </c>
      <c r="F23" s="4">
        <v>2.0</v>
      </c>
      <c r="G23" s="4">
        <v>2.0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</row>
    <row r="24" ht="15.75" customHeight="1">
      <c r="A24" s="4" t="s">
        <v>149</v>
      </c>
      <c r="B24" s="4">
        <v>4.0</v>
      </c>
      <c r="C24" s="4">
        <v>4.0</v>
      </c>
      <c r="D24" s="4">
        <v>4.0</v>
      </c>
      <c r="E24" s="4">
        <v>4.0</v>
      </c>
      <c r="F24" s="4">
        <v>4.0</v>
      </c>
      <c r="G24" s="4">
        <v>4.0</v>
      </c>
      <c r="H24" s="4">
        <v>4.0</v>
      </c>
      <c r="I24" s="4">
        <v>1.0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</row>
    <row r="25" ht="15.75" customHeight="1">
      <c r="A25" s="4" t="s">
        <v>154</v>
      </c>
      <c r="B25" s="4">
        <v>4.0</v>
      </c>
      <c r="C25" s="4">
        <v>4.0</v>
      </c>
      <c r="D25" s="4">
        <v>4.0</v>
      </c>
      <c r="E25" s="4">
        <v>4.0</v>
      </c>
      <c r="F25" s="4">
        <v>4.0</v>
      </c>
      <c r="G25" s="4">
        <v>4.0</v>
      </c>
      <c r="H25" s="4">
        <v>4.0</v>
      </c>
      <c r="I25" s="4">
        <v>4.0</v>
      </c>
      <c r="J25" s="4">
        <v>4.0</v>
      </c>
      <c r="K25" s="4">
        <v>1.0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</row>
    <row r="26" ht="15.75" customHeight="1">
      <c r="A26" s="4" t="s">
        <v>158</v>
      </c>
      <c r="B26" s="4">
        <v>2.0</v>
      </c>
      <c r="C26" s="4">
        <v>2.0</v>
      </c>
      <c r="D26" s="4">
        <v>2.0</v>
      </c>
      <c r="E26" s="4">
        <v>2.0</v>
      </c>
      <c r="F26" s="4">
        <v>2.0</v>
      </c>
      <c r="G26" s="4">
        <v>2.0</v>
      </c>
      <c r="H26" s="4">
        <v>2.0</v>
      </c>
      <c r="I26" s="4">
        <v>2.0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</row>
    <row r="27" ht="15.75" customHeight="1">
      <c r="A27" s="4" t="s">
        <v>162</v>
      </c>
      <c r="B27" s="4">
        <v>3.0</v>
      </c>
      <c r="C27" s="4">
        <v>3.0</v>
      </c>
      <c r="D27" s="4">
        <v>3.0</v>
      </c>
      <c r="E27" s="4">
        <v>3.0</v>
      </c>
      <c r="F27" s="4">
        <v>3.0</v>
      </c>
      <c r="G27" s="4">
        <v>3.0</v>
      </c>
      <c r="H27" s="4">
        <v>3.0</v>
      </c>
      <c r="I27" s="4">
        <v>3.0</v>
      </c>
      <c r="J27" s="4">
        <v>2.0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</row>
    <row r="28" ht="15.75" customHeight="1">
      <c r="A28" s="4" t="s">
        <v>166</v>
      </c>
      <c r="B28" s="4">
        <v>2.0</v>
      </c>
      <c r="C28" s="4">
        <v>2.0</v>
      </c>
      <c r="D28" s="4">
        <v>2.0</v>
      </c>
      <c r="E28" s="4">
        <v>2.0</v>
      </c>
      <c r="F28" s="4">
        <v>2.0</v>
      </c>
      <c r="G28" s="4">
        <v>2.0</v>
      </c>
      <c r="H28" s="4">
        <v>2.0</v>
      </c>
      <c r="I28" s="4">
        <v>2.0</v>
      </c>
      <c r="J28" s="4">
        <v>2.0</v>
      </c>
      <c r="K28" s="4">
        <v>2.0</v>
      </c>
      <c r="L28" s="4">
        <v>0.0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</row>
    <row r="29" ht="15.75" customHeight="1">
      <c r="A29" s="4" t="s">
        <v>169</v>
      </c>
      <c r="B29" s="4">
        <v>3.0</v>
      </c>
      <c r="C29" s="4">
        <v>3.0</v>
      </c>
      <c r="D29" s="4">
        <v>3.0</v>
      </c>
      <c r="E29" s="4">
        <v>3.0</v>
      </c>
      <c r="F29" s="4">
        <v>3.0</v>
      </c>
      <c r="G29" s="4">
        <v>3.0</v>
      </c>
      <c r="H29" s="4">
        <v>3.0</v>
      </c>
      <c r="I29" s="4">
        <v>3.0</v>
      </c>
      <c r="J29" s="4">
        <v>1.0</v>
      </c>
      <c r="K29" s="4">
        <v>0.0</v>
      </c>
      <c r="L29" s="4">
        <v>0.0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</row>
    <row r="30" ht="15.75" customHeight="1">
      <c r="A30" s="4" t="s">
        <v>172</v>
      </c>
      <c r="B30" s="4">
        <v>2.0</v>
      </c>
      <c r="C30" s="4">
        <v>2.0</v>
      </c>
      <c r="D30" s="4">
        <v>2.0</v>
      </c>
      <c r="E30" s="4">
        <v>2.0</v>
      </c>
      <c r="F30" s="4">
        <v>2.0</v>
      </c>
      <c r="G30" s="4">
        <v>2.0</v>
      </c>
      <c r="H30" s="4">
        <v>2.0</v>
      </c>
      <c r="I30" s="4">
        <v>2.0</v>
      </c>
      <c r="J30" s="4">
        <v>2.0</v>
      </c>
      <c r="K30" s="4">
        <v>2.0</v>
      </c>
      <c r="L30" s="4">
        <v>2.0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</row>
    <row r="31" ht="15.75" customHeight="1">
      <c r="A31" s="4" t="s">
        <v>175</v>
      </c>
      <c r="B31" s="4">
        <v>2.0</v>
      </c>
      <c r="C31" s="4">
        <v>2.0</v>
      </c>
      <c r="D31" s="4">
        <v>2.0</v>
      </c>
      <c r="E31" s="4">
        <v>2.0</v>
      </c>
      <c r="F31" s="4">
        <v>2.0</v>
      </c>
      <c r="G31" s="4">
        <v>2.0</v>
      </c>
      <c r="H31" s="4">
        <v>2.0</v>
      </c>
      <c r="I31" s="4">
        <v>2.0</v>
      </c>
      <c r="J31" s="4">
        <v>2.0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</row>
    <row r="32" ht="15.75" customHeight="1">
      <c r="A32" s="4" t="s">
        <v>179</v>
      </c>
      <c r="B32" s="4">
        <v>3.0</v>
      </c>
      <c r="C32" s="4">
        <v>3.0</v>
      </c>
      <c r="D32" s="4">
        <v>3.0</v>
      </c>
      <c r="E32" s="4">
        <v>3.0</v>
      </c>
      <c r="F32" s="4">
        <v>3.0</v>
      </c>
      <c r="G32" s="4">
        <v>3.0</v>
      </c>
      <c r="H32" s="4">
        <v>3.0</v>
      </c>
      <c r="I32" s="4">
        <v>3.0</v>
      </c>
      <c r="J32" s="4">
        <v>3.0</v>
      </c>
      <c r="K32" s="4">
        <v>3.0</v>
      </c>
      <c r="L32" s="4">
        <v>1.0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</row>
    <row r="33" ht="15.75" customHeight="1">
      <c r="A33" s="4" t="s">
        <v>183</v>
      </c>
      <c r="B33" s="4">
        <v>2.0</v>
      </c>
      <c r="C33" s="4">
        <v>2.0</v>
      </c>
      <c r="D33" s="4">
        <v>2.0</v>
      </c>
      <c r="E33" s="4">
        <v>2.0</v>
      </c>
      <c r="F33" s="4">
        <v>2.0</v>
      </c>
      <c r="G33" s="4">
        <v>2.0</v>
      </c>
      <c r="H33" s="4">
        <v>2.0</v>
      </c>
      <c r="I33" s="4">
        <v>2.0</v>
      </c>
      <c r="J33" s="4">
        <v>2.0</v>
      </c>
      <c r="K33" s="4">
        <v>2.0</v>
      </c>
      <c r="L33" s="4">
        <v>2.0</v>
      </c>
      <c r="M33" s="4">
        <v>1.0</v>
      </c>
      <c r="N33" s="4">
        <v>0.0</v>
      </c>
      <c r="O33" s="4">
        <v>0.0</v>
      </c>
      <c r="P33" s="4">
        <v>0.0</v>
      </c>
      <c r="Q33" s="4">
        <v>0.0</v>
      </c>
    </row>
    <row r="34" ht="15.75" customHeight="1">
      <c r="A34" s="4" t="s">
        <v>186</v>
      </c>
      <c r="B34" s="4">
        <v>3.0</v>
      </c>
      <c r="C34" s="4">
        <v>3.0</v>
      </c>
      <c r="D34" s="4">
        <v>3.0</v>
      </c>
      <c r="E34" s="4">
        <v>3.0</v>
      </c>
      <c r="F34" s="4">
        <v>3.0</v>
      </c>
      <c r="G34" s="4">
        <v>3.0</v>
      </c>
      <c r="H34" s="4">
        <v>3.0</v>
      </c>
      <c r="I34" s="4">
        <v>3.0</v>
      </c>
      <c r="J34" s="4">
        <v>3.0</v>
      </c>
      <c r="K34" s="4">
        <v>1.0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</row>
    <row r="35" ht="15.75" customHeight="1">
      <c r="A35" s="4" t="s">
        <v>188</v>
      </c>
      <c r="B35" s="4">
        <v>2.0</v>
      </c>
      <c r="C35" s="4">
        <v>2.0</v>
      </c>
      <c r="D35" s="4">
        <v>2.0</v>
      </c>
      <c r="E35" s="4">
        <v>2.0</v>
      </c>
      <c r="F35" s="4">
        <v>2.0</v>
      </c>
      <c r="G35" s="4">
        <v>2.0</v>
      </c>
      <c r="H35" s="4">
        <v>2.0</v>
      </c>
      <c r="I35" s="4">
        <v>2.0</v>
      </c>
      <c r="J35" s="4">
        <v>2.0</v>
      </c>
      <c r="K35" s="4">
        <v>2.0</v>
      </c>
      <c r="L35" s="4">
        <v>2.0</v>
      </c>
      <c r="M35" s="4">
        <v>2.0</v>
      </c>
      <c r="N35" s="4">
        <v>0.0</v>
      </c>
      <c r="O35" s="4">
        <v>0.0</v>
      </c>
      <c r="P35" s="4">
        <v>0.0</v>
      </c>
      <c r="Q35" s="4">
        <v>0.0</v>
      </c>
    </row>
    <row r="36" ht="15.75" customHeight="1">
      <c r="A36" s="4" t="s">
        <v>191</v>
      </c>
      <c r="B36" s="4">
        <v>2.0</v>
      </c>
      <c r="C36" s="4">
        <v>2.0</v>
      </c>
      <c r="D36" s="4">
        <v>2.0</v>
      </c>
      <c r="E36" s="4">
        <v>2.0</v>
      </c>
      <c r="F36" s="4">
        <v>2.0</v>
      </c>
      <c r="G36" s="4">
        <v>2.0</v>
      </c>
      <c r="H36" s="4">
        <v>2.0</v>
      </c>
      <c r="I36" s="4">
        <v>2.0</v>
      </c>
      <c r="J36" s="4">
        <v>2.0</v>
      </c>
      <c r="K36" s="4">
        <v>2.0</v>
      </c>
      <c r="L36" s="4">
        <v>2.0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</row>
    <row r="37" ht="15.75" customHeight="1">
      <c r="A37" s="4" t="s">
        <v>193</v>
      </c>
      <c r="B37" s="4">
        <v>4.0</v>
      </c>
      <c r="C37" s="4">
        <v>4.0</v>
      </c>
      <c r="D37" s="4">
        <v>4.0</v>
      </c>
      <c r="E37" s="4">
        <v>4.0</v>
      </c>
      <c r="F37" s="4">
        <v>4.0</v>
      </c>
      <c r="G37" s="4">
        <v>4.0</v>
      </c>
      <c r="H37" s="4">
        <v>4.0</v>
      </c>
      <c r="I37" s="4">
        <v>4.0</v>
      </c>
      <c r="J37" s="4">
        <v>4.0</v>
      </c>
      <c r="K37" s="4">
        <v>4.0</v>
      </c>
      <c r="L37" s="4">
        <v>2.0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</row>
    <row r="38" ht="15.75" customHeight="1">
      <c r="A38" s="4" t="s">
        <v>195</v>
      </c>
      <c r="B38" s="4">
        <v>6.0</v>
      </c>
      <c r="C38" s="4">
        <v>6.0</v>
      </c>
      <c r="D38" s="4">
        <v>6.0</v>
      </c>
      <c r="E38" s="4">
        <v>6.0</v>
      </c>
      <c r="F38" s="4">
        <v>6.0</v>
      </c>
      <c r="G38" s="4">
        <v>6.0</v>
      </c>
      <c r="H38" s="4">
        <v>6.0</v>
      </c>
      <c r="I38" s="4">
        <v>6.0</v>
      </c>
      <c r="J38" s="4">
        <v>6.0</v>
      </c>
      <c r="K38" s="4">
        <v>6.0</v>
      </c>
      <c r="L38" s="4">
        <v>6.0</v>
      </c>
      <c r="M38" s="4">
        <v>5.0</v>
      </c>
      <c r="N38" s="4">
        <v>2.0</v>
      </c>
      <c r="O38" s="4">
        <v>0.0</v>
      </c>
      <c r="P38" s="4">
        <v>0.0</v>
      </c>
      <c r="Q38" s="4">
        <v>0.0</v>
      </c>
    </row>
    <row r="39" ht="15.75" customHeight="1">
      <c r="A39" s="4" t="s">
        <v>198</v>
      </c>
      <c r="B39" s="4">
        <v>4.0</v>
      </c>
      <c r="C39" s="4">
        <v>4.0</v>
      </c>
      <c r="D39" s="4">
        <v>4.0</v>
      </c>
      <c r="E39" s="4">
        <v>4.0</v>
      </c>
      <c r="F39" s="4">
        <v>4.0</v>
      </c>
      <c r="G39" s="4">
        <v>4.0</v>
      </c>
      <c r="H39" s="4">
        <v>4.0</v>
      </c>
      <c r="I39" s="4">
        <v>4.0</v>
      </c>
      <c r="J39" s="4">
        <v>4.0</v>
      </c>
      <c r="K39" s="4">
        <v>4.0</v>
      </c>
      <c r="L39" s="4">
        <v>4.0</v>
      </c>
      <c r="M39" s="4">
        <v>4.0</v>
      </c>
      <c r="N39" s="4">
        <v>3.0</v>
      </c>
      <c r="O39" s="4">
        <v>0.0</v>
      </c>
      <c r="P39" s="4">
        <v>0.0</v>
      </c>
      <c r="Q39" s="4">
        <v>0.0</v>
      </c>
    </row>
    <row r="40" ht="15.75" customHeight="1">
      <c r="A40" s="4" t="s">
        <v>200</v>
      </c>
      <c r="B40" s="4">
        <v>5.0</v>
      </c>
      <c r="C40" s="4">
        <v>5.0</v>
      </c>
      <c r="D40" s="4">
        <v>5.0</v>
      </c>
      <c r="E40" s="4">
        <v>5.0</v>
      </c>
      <c r="F40" s="4">
        <v>5.0</v>
      </c>
      <c r="G40" s="4">
        <v>5.0</v>
      </c>
      <c r="H40" s="4">
        <v>5.0</v>
      </c>
      <c r="I40" s="4">
        <v>5.0</v>
      </c>
      <c r="J40" s="4">
        <v>5.0</v>
      </c>
      <c r="K40" s="4">
        <v>5.0</v>
      </c>
      <c r="L40" s="4">
        <v>5.0</v>
      </c>
      <c r="M40" s="4">
        <v>4.0</v>
      </c>
      <c r="N40" s="4">
        <v>1.0</v>
      </c>
      <c r="O40" s="4">
        <v>0.0</v>
      </c>
      <c r="P40" s="4">
        <v>0.0</v>
      </c>
      <c r="Q40" s="4">
        <v>0.0</v>
      </c>
    </row>
    <row r="41" ht="15.75" customHeight="1">
      <c r="A41" s="4" t="s">
        <v>202</v>
      </c>
      <c r="B41" s="4">
        <v>5.0</v>
      </c>
      <c r="C41" s="4">
        <v>5.0</v>
      </c>
      <c r="D41" s="4">
        <v>5.0</v>
      </c>
      <c r="E41" s="4">
        <v>5.0</v>
      </c>
      <c r="F41" s="4">
        <v>5.0</v>
      </c>
      <c r="G41" s="4">
        <v>5.0</v>
      </c>
      <c r="H41" s="4">
        <v>5.0</v>
      </c>
      <c r="I41" s="4">
        <v>5.0</v>
      </c>
      <c r="J41" s="4">
        <v>5.0</v>
      </c>
      <c r="K41" s="4">
        <v>5.0</v>
      </c>
      <c r="L41" s="4">
        <v>5.0</v>
      </c>
      <c r="M41" s="4">
        <v>5.0</v>
      </c>
      <c r="N41" s="4">
        <v>5.0</v>
      </c>
      <c r="O41" s="4">
        <v>4.0</v>
      </c>
      <c r="P41" s="4">
        <v>1.0</v>
      </c>
      <c r="Q41" s="4">
        <v>0.0</v>
      </c>
    </row>
    <row r="42" ht="15.75" customHeight="1">
      <c r="A42" s="4" t="s">
        <v>204</v>
      </c>
      <c r="B42" s="4">
        <v>4.0</v>
      </c>
      <c r="C42" s="4">
        <v>4.0</v>
      </c>
      <c r="D42" s="4">
        <v>4.0</v>
      </c>
      <c r="E42" s="4">
        <v>4.0</v>
      </c>
      <c r="F42" s="4">
        <v>4.0</v>
      </c>
      <c r="G42" s="4">
        <v>4.0</v>
      </c>
      <c r="H42" s="4">
        <v>4.0</v>
      </c>
      <c r="I42" s="4">
        <v>4.0</v>
      </c>
      <c r="J42" s="4">
        <v>4.0</v>
      </c>
      <c r="K42" s="4">
        <v>4.0</v>
      </c>
      <c r="L42" s="4">
        <v>4.0</v>
      </c>
      <c r="M42" s="4">
        <v>4.0</v>
      </c>
      <c r="N42" s="4">
        <v>4.0</v>
      </c>
      <c r="O42" s="4">
        <v>2.0</v>
      </c>
      <c r="P42" s="4">
        <v>0.0</v>
      </c>
      <c r="Q42" s="4">
        <v>0.0</v>
      </c>
    </row>
    <row r="43" ht="15.75" customHeight="1">
      <c r="A43" s="4" t="s">
        <v>205</v>
      </c>
      <c r="B43" s="4">
        <v>3.0</v>
      </c>
      <c r="C43" s="4">
        <v>3.0</v>
      </c>
      <c r="D43" s="4">
        <v>3.0</v>
      </c>
      <c r="E43" s="4">
        <v>3.0</v>
      </c>
      <c r="F43" s="4">
        <v>3.0</v>
      </c>
      <c r="G43" s="4">
        <v>3.0</v>
      </c>
      <c r="H43" s="4">
        <v>3.0</v>
      </c>
      <c r="I43" s="4">
        <v>3.0</v>
      </c>
      <c r="J43" s="4">
        <v>3.0</v>
      </c>
      <c r="K43" s="4">
        <v>3.0</v>
      </c>
      <c r="L43" s="4">
        <v>3.0</v>
      </c>
      <c r="M43" s="4">
        <v>3.0</v>
      </c>
      <c r="N43" s="4">
        <v>3.0</v>
      </c>
      <c r="O43" s="4">
        <v>2.0</v>
      </c>
      <c r="P43" s="4">
        <v>0.0</v>
      </c>
      <c r="Q43" s="4">
        <v>0.0</v>
      </c>
    </row>
    <row r="44" ht="15.75" customHeight="1">
      <c r="A44" s="4" t="s">
        <v>206</v>
      </c>
      <c r="B44" s="4">
        <v>3.0</v>
      </c>
      <c r="C44" s="4">
        <v>3.0</v>
      </c>
      <c r="D44" s="4">
        <v>3.0</v>
      </c>
      <c r="E44" s="4">
        <v>3.0</v>
      </c>
      <c r="F44" s="4">
        <v>3.0</v>
      </c>
      <c r="G44" s="4">
        <v>3.0</v>
      </c>
      <c r="H44" s="4">
        <v>3.0</v>
      </c>
      <c r="I44" s="4">
        <v>3.0</v>
      </c>
      <c r="J44" s="4">
        <v>3.0</v>
      </c>
      <c r="K44" s="4">
        <v>3.0</v>
      </c>
      <c r="L44" s="4">
        <v>3.0</v>
      </c>
      <c r="M44" s="4">
        <v>3.0</v>
      </c>
      <c r="N44" s="4">
        <v>3.0</v>
      </c>
      <c r="O44" s="4">
        <v>3.0</v>
      </c>
      <c r="P44" s="4">
        <v>3.0</v>
      </c>
      <c r="Q44" s="4">
        <v>0.0</v>
      </c>
    </row>
    <row r="45" ht="15.75" customHeight="1">
      <c r="A45" s="4" t="s">
        <v>207</v>
      </c>
      <c r="B45" s="4">
        <v>3.0</v>
      </c>
      <c r="C45" s="4">
        <v>3.0</v>
      </c>
      <c r="D45" s="4">
        <v>3.0</v>
      </c>
      <c r="E45" s="4">
        <v>3.0</v>
      </c>
      <c r="F45" s="4">
        <v>3.0</v>
      </c>
      <c r="G45" s="4">
        <v>3.0</v>
      </c>
      <c r="H45" s="4">
        <v>3.0</v>
      </c>
      <c r="I45" s="4">
        <v>3.0</v>
      </c>
      <c r="J45" s="4">
        <v>3.0</v>
      </c>
      <c r="K45" s="4">
        <v>3.0</v>
      </c>
      <c r="L45" s="4">
        <v>3.0</v>
      </c>
      <c r="M45" s="4">
        <v>3.0</v>
      </c>
      <c r="N45" s="4">
        <v>3.0</v>
      </c>
      <c r="O45" s="4">
        <v>3.0</v>
      </c>
      <c r="P45" s="4">
        <v>3.0</v>
      </c>
      <c r="Q45" s="4">
        <v>0.0</v>
      </c>
    </row>
    <row r="46" ht="15.75" customHeight="1">
      <c r="A46" s="4" t="s">
        <v>208</v>
      </c>
      <c r="B46" s="4">
        <v>3.0</v>
      </c>
      <c r="C46" s="4">
        <v>3.0</v>
      </c>
      <c r="D46" s="4">
        <v>3.0</v>
      </c>
      <c r="E46" s="4">
        <v>3.0</v>
      </c>
      <c r="F46" s="4">
        <v>3.0</v>
      </c>
      <c r="G46" s="4">
        <v>3.0</v>
      </c>
      <c r="H46" s="4">
        <v>3.0</v>
      </c>
      <c r="I46" s="4">
        <v>3.0</v>
      </c>
      <c r="J46" s="4">
        <v>3.0</v>
      </c>
      <c r="K46" s="4">
        <v>3.0</v>
      </c>
      <c r="L46" s="4">
        <v>3.0</v>
      </c>
      <c r="M46" s="4">
        <v>3.0</v>
      </c>
      <c r="N46" s="4">
        <v>3.0</v>
      </c>
      <c r="O46" s="4">
        <v>3.0</v>
      </c>
      <c r="P46" s="4">
        <v>3.0</v>
      </c>
      <c r="Q46" s="4">
        <v>0.0</v>
      </c>
    </row>
    <row r="47" ht="15.75" customHeight="1"/>
    <row r="48" ht="15.75" customHeight="1">
      <c r="A48" s="3" t="s">
        <v>152</v>
      </c>
    </row>
    <row r="49" ht="15.75" customHeight="1">
      <c r="A49" s="7" t="s">
        <v>153</v>
      </c>
      <c r="B49" s="7">
        <v>0.0</v>
      </c>
      <c r="C49" s="7">
        <v>1.0</v>
      </c>
      <c r="D49" s="7">
        <v>2.0</v>
      </c>
      <c r="E49" s="7">
        <v>3.0</v>
      </c>
      <c r="F49" s="7">
        <v>4.0</v>
      </c>
      <c r="G49" s="7">
        <v>5.0</v>
      </c>
      <c r="H49" s="7">
        <v>6.0</v>
      </c>
      <c r="I49" s="7">
        <v>7.0</v>
      </c>
      <c r="J49" s="7">
        <v>8.0</v>
      </c>
      <c r="K49" s="7">
        <v>9.0</v>
      </c>
      <c r="L49" s="7">
        <v>10.0</v>
      </c>
      <c r="M49" s="7">
        <v>11.0</v>
      </c>
      <c r="N49" s="7">
        <v>12.0</v>
      </c>
      <c r="O49" s="7">
        <v>13.0</v>
      </c>
      <c r="P49" s="7">
        <v>14.0</v>
      </c>
      <c r="Q49" s="7">
        <v>15.0</v>
      </c>
    </row>
    <row r="50" ht="15.75" customHeight="1">
      <c r="A50" s="7" t="s">
        <v>161</v>
      </c>
      <c r="B50" s="8">
        <f>SUM(B6:B46)</f>
        <v>137</v>
      </c>
      <c r="C50" s="8">
        <f>IF(1&gt;$C$3,NA(),IF(COUNT(C6:C46)=0,NA(),SUM(C6:C46)))</f>
        <v>128</v>
      </c>
      <c r="D50" s="8">
        <f>IF(2&gt;$C$3,NA(),IF(COUNT(D6:D46)=0,NA(),SUM(D6:D46)))</f>
        <v>119</v>
      </c>
      <c r="E50" s="8">
        <f>IF(3&gt;$C$3,NA(),IF(COUNT(E6:E46)=0,NA(),SUM(E6:E46)))</f>
        <v>108</v>
      </c>
      <c r="F50" s="8">
        <f>IF(4&gt;$C$3,NA(),IF(COUNT(F6:F46)=0,NA(),SUM(F6:F46)))</f>
        <v>101</v>
      </c>
      <c r="G50" s="8">
        <f>IF(5&gt;$C$3,NA(),IF(COUNT(G6:G46)=0,NA(),SUM(G6:G46)))</f>
        <v>91</v>
      </c>
      <c r="H50" s="8">
        <f>IF(6&gt;$C$3,NA(),IF(COUNT(H6:H46)=0,NA(),SUM(H6:H46)))</f>
        <v>83</v>
      </c>
      <c r="I50" s="8">
        <f>IF(7&gt;$C$3,NA(),IF(COUNT(I6:I46)=0,NA(),SUM(I6:I46)))</f>
        <v>73</v>
      </c>
      <c r="J50" s="8">
        <f>IF(8&gt;$C$3,NA(),IF(COUNT(J6:J46)=0,NA(),SUM(J6:J46)))</f>
        <v>65</v>
      </c>
      <c r="K50" s="8">
        <f>IF(9&gt;$C$3,NA(),IF(COUNT(K6:K46)=0,NA(),SUM(K6:K46)))</f>
        <v>55</v>
      </c>
      <c r="L50" s="8">
        <f>IF(10&gt;$C$3,NA(),IF(COUNT(L6:L46)=0,NA(),SUM(L6:L46)))</f>
        <v>47</v>
      </c>
      <c r="M50" s="8">
        <f>IF(11&gt;$C$3,NA(),IF(COUNT(M6:M46)=0,NA(),SUM(M6:M46)))</f>
        <v>37</v>
      </c>
      <c r="N50" s="8">
        <f>IF(12&gt;$C$3,NA(),IF(COUNT(N6:N46)=0,NA(),SUM(N6:N46)))</f>
        <v>27</v>
      </c>
      <c r="O50" s="8">
        <f>IF(13&gt;$C$3,NA(),IF(COUNT(O6:O46)=0,NA(),SUM(O6:O46)))</f>
        <v>17</v>
      </c>
      <c r="P50" s="8">
        <f>IF(14&gt;$C$3,NA(),IF(COUNT(P6:P46)=0,NA(),SUM(P6:P46)))</f>
        <v>10</v>
      </c>
      <c r="Q50" s="8">
        <f>IF(15&gt;$C$3,NA(),IF(COUNT(Q6:Q46)=0,NA(),SUM(Q6:Q46)))</f>
        <v>0</v>
      </c>
    </row>
    <row r="51" ht="15.75" customHeight="1">
      <c r="A51" s="7" t="s">
        <v>209</v>
      </c>
      <c r="B51" s="9">
        <f>IF(0&gt;$C$3,NA(),$B$50*(1-0/$C$3))</f>
        <v>137</v>
      </c>
      <c r="C51" s="9">
        <f>IF(1&gt;$C$3,NA(),$B$50*(1-1/$C$3))</f>
        <v>127.8666667</v>
      </c>
      <c r="D51" s="9">
        <f>IF(2&gt;$C$3,NA(),$B$50*(1-2/$C$3))</f>
        <v>118.7333333</v>
      </c>
      <c r="E51" s="9">
        <f>IF(3&gt;$C$3,NA(),$B$50*(1-3/$C$3))</f>
        <v>109.6</v>
      </c>
      <c r="F51" s="9">
        <f>IF(4&gt;$C$3,NA(),$B$50*(1-4/$C$3))</f>
        <v>100.4666667</v>
      </c>
      <c r="G51" s="9">
        <f>IF(5&gt;$C$3,NA(),$B$50*(1-5/$C$3))</f>
        <v>91.33333333</v>
      </c>
      <c r="H51" s="9">
        <f>IF(6&gt;$C$3,NA(),$B$50*(1-6/$C$3))</f>
        <v>82.2</v>
      </c>
      <c r="I51" s="9">
        <f>IF(7&gt;$C$3,NA(),$B$50*(1-7/$C$3))</f>
        <v>73.06666667</v>
      </c>
      <c r="J51" s="9">
        <f>IF(8&gt;$C$3,NA(),$B$50*(1-8/$C$3))</f>
        <v>63.93333333</v>
      </c>
      <c r="K51" s="9">
        <f>IF(9&gt;$C$3,NA(),$B$50*(1-9/$C$3))</f>
        <v>54.8</v>
      </c>
      <c r="L51" s="9">
        <f>IF(10&gt;$C$3,NA(),$B$50*(1-10/$C$3))</f>
        <v>45.66666667</v>
      </c>
      <c r="M51" s="9">
        <f>IF(11&gt;$C$3,NA(),$B$50*(1-11/$C$3))</f>
        <v>36.53333333</v>
      </c>
      <c r="N51" s="9">
        <f>IF(12&gt;$C$3,NA(),$B$50*(1-12/$C$3))</f>
        <v>27.4</v>
      </c>
      <c r="O51" s="9">
        <f>IF(13&gt;$C$3,NA(),$B$50*(1-13/$C$3))</f>
        <v>18.26666667</v>
      </c>
      <c r="P51" s="9">
        <f>IF(14&gt;$C$3,NA(),$B$50*(1-14/$C$3))</f>
        <v>9.133333333</v>
      </c>
      <c r="Q51" s="9">
        <f>IF(15&gt;$C$3,NA(),$B$50*(1-15/$C$3))</f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6.0"/>
    <col customWidth="1" min="2" max="2" width="11.0"/>
    <col customWidth="1" min="3" max="17" width="7.43"/>
    <col customWidth="1" min="18" max="26" width="8.71"/>
  </cols>
  <sheetData>
    <row r="1">
      <c r="A1" s="1" t="s">
        <v>3</v>
      </c>
    </row>
    <row r="2">
      <c r="A2" s="2" t="s">
        <v>4</v>
      </c>
    </row>
    <row r="3">
      <c r="A3" s="3" t="s">
        <v>6</v>
      </c>
      <c r="C3" s="4">
        <v>9.0</v>
      </c>
    </row>
    <row r="4">
      <c r="D4" s="2" t="s">
        <v>7</v>
      </c>
    </row>
    <row r="5" ht="27.75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13</v>
      </c>
      <c r="F5" s="5" t="s">
        <v>16</v>
      </c>
      <c r="G5" s="5" t="s">
        <v>19</v>
      </c>
      <c r="H5" s="5" t="s">
        <v>21</v>
      </c>
      <c r="I5" s="5" t="s">
        <v>24</v>
      </c>
      <c r="J5" s="5" t="s">
        <v>28</v>
      </c>
      <c r="K5" s="5" t="s">
        <v>31</v>
      </c>
      <c r="L5" s="5" t="s">
        <v>35</v>
      </c>
      <c r="M5" s="5" t="s">
        <v>38</v>
      </c>
      <c r="N5" s="5" t="s">
        <v>43</v>
      </c>
      <c r="O5" s="5" t="s">
        <v>45</v>
      </c>
      <c r="P5" s="5" t="s">
        <v>47</v>
      </c>
      <c r="Q5" s="5" t="s">
        <v>49</v>
      </c>
    </row>
    <row r="6">
      <c r="A6" s="4" t="s">
        <v>54</v>
      </c>
      <c r="B6" s="4">
        <v>3.0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/>
      <c r="M6" s="4"/>
      <c r="N6" s="4"/>
      <c r="O6" s="4"/>
      <c r="P6" s="4"/>
      <c r="Q6" s="4"/>
    </row>
    <row r="7">
      <c r="A7" s="4" t="s">
        <v>58</v>
      </c>
      <c r="B7" s="4">
        <v>2.0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/>
      <c r="M7" s="4"/>
      <c r="N7" s="4"/>
      <c r="O7" s="4"/>
      <c r="P7" s="4"/>
      <c r="Q7" s="4"/>
    </row>
    <row r="8">
      <c r="A8" s="4" t="s">
        <v>64</v>
      </c>
      <c r="B8" s="4">
        <v>2.0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/>
      <c r="M8" s="4"/>
      <c r="N8" s="4"/>
      <c r="O8" s="4"/>
      <c r="P8" s="4"/>
      <c r="Q8" s="4"/>
    </row>
    <row r="9">
      <c r="A9" s="4" t="s">
        <v>68</v>
      </c>
      <c r="B9" s="4">
        <v>3.0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/>
      <c r="M9" s="4"/>
      <c r="N9" s="4"/>
      <c r="O9" s="4"/>
      <c r="P9" s="4"/>
      <c r="Q9" s="4"/>
    </row>
    <row r="10">
      <c r="A10" s="4" t="s">
        <v>71</v>
      </c>
      <c r="B10" s="4">
        <v>2.0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/>
      <c r="M10" s="4"/>
      <c r="N10" s="4"/>
      <c r="O10" s="4"/>
      <c r="P10" s="4"/>
      <c r="Q10" s="4"/>
    </row>
    <row r="11">
      <c r="A11" s="4" t="s">
        <v>74</v>
      </c>
      <c r="B11" s="4">
        <v>2.0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/>
      <c r="M11" s="4"/>
      <c r="N11" s="4"/>
      <c r="O11" s="4"/>
      <c r="P11" s="4"/>
      <c r="Q11" s="4"/>
    </row>
    <row r="12">
      <c r="A12" s="4" t="s">
        <v>77</v>
      </c>
      <c r="B12" s="4">
        <v>3.0</v>
      </c>
      <c r="C12" s="4">
        <v>3.0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/>
      <c r="M12" s="4"/>
      <c r="N12" s="4"/>
      <c r="O12" s="4"/>
      <c r="P12" s="4"/>
      <c r="Q12" s="4"/>
    </row>
    <row r="13">
      <c r="A13" s="4" t="s">
        <v>80</v>
      </c>
      <c r="B13" s="4">
        <v>2.0</v>
      </c>
      <c r="C13" s="4">
        <v>1.0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/>
      <c r="M13" s="4"/>
      <c r="N13" s="4"/>
      <c r="O13" s="4"/>
      <c r="P13" s="4"/>
      <c r="Q13" s="4"/>
    </row>
    <row r="14">
      <c r="A14" s="4" t="s">
        <v>83</v>
      </c>
      <c r="B14" s="4">
        <v>8.0</v>
      </c>
      <c r="C14" s="4">
        <v>8.0</v>
      </c>
      <c r="D14" s="4">
        <v>4.0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/>
      <c r="M14" s="4"/>
      <c r="N14" s="4"/>
      <c r="O14" s="4"/>
      <c r="P14" s="4"/>
      <c r="Q14" s="4"/>
    </row>
    <row r="15">
      <c r="A15" s="4" t="s">
        <v>85</v>
      </c>
      <c r="B15" s="4">
        <v>7.0</v>
      </c>
      <c r="C15" s="4">
        <v>7.0</v>
      </c>
      <c r="D15" s="4">
        <v>4.0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/>
      <c r="M15" s="4"/>
      <c r="N15" s="4"/>
      <c r="O15" s="4"/>
      <c r="P15" s="4"/>
      <c r="Q15" s="4"/>
    </row>
    <row r="16">
      <c r="A16" s="4" t="s">
        <v>88</v>
      </c>
      <c r="B16" s="4">
        <v>4.0</v>
      </c>
      <c r="C16" s="4">
        <v>4.0</v>
      </c>
      <c r="D16" s="4">
        <v>3.0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/>
      <c r="M16" s="4"/>
      <c r="N16" s="4"/>
      <c r="O16" s="4"/>
      <c r="P16" s="4"/>
      <c r="Q16" s="4"/>
    </row>
    <row r="17">
      <c r="A17" s="4" t="s">
        <v>90</v>
      </c>
      <c r="B17" s="4">
        <v>3.0</v>
      </c>
      <c r="C17" s="4">
        <v>3.0</v>
      </c>
      <c r="D17" s="4">
        <v>3.0</v>
      </c>
      <c r="E17" s="4">
        <v>3.0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/>
      <c r="M17" s="4"/>
      <c r="N17" s="4"/>
      <c r="O17" s="4"/>
      <c r="P17" s="4"/>
      <c r="Q17" s="4"/>
    </row>
    <row r="18">
      <c r="A18" s="4" t="s">
        <v>95</v>
      </c>
      <c r="B18" s="4">
        <v>2.0</v>
      </c>
      <c r="C18" s="4">
        <v>2.0</v>
      </c>
      <c r="D18" s="4">
        <v>2.0</v>
      </c>
      <c r="E18" s="4">
        <v>2.0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/>
      <c r="M18" s="4"/>
      <c r="N18" s="4"/>
      <c r="O18" s="4"/>
      <c r="P18" s="4"/>
      <c r="Q18" s="4"/>
    </row>
    <row r="19">
      <c r="A19" s="4" t="s">
        <v>97</v>
      </c>
      <c r="B19" s="4">
        <v>2.0</v>
      </c>
      <c r="C19" s="4">
        <v>2.0</v>
      </c>
      <c r="D19" s="4">
        <v>2.0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/>
      <c r="M19" s="4"/>
      <c r="N19" s="4"/>
      <c r="O19" s="4"/>
      <c r="P19" s="4"/>
      <c r="Q19" s="4"/>
    </row>
    <row r="20">
      <c r="A20" s="4" t="s">
        <v>102</v>
      </c>
      <c r="B20" s="4">
        <v>4.0</v>
      </c>
      <c r="C20" s="4">
        <v>4.0</v>
      </c>
      <c r="D20" s="4">
        <v>4.0</v>
      </c>
      <c r="E20" s="4">
        <v>4.0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/>
      <c r="M20" s="4"/>
      <c r="N20" s="4"/>
      <c r="O20" s="4"/>
      <c r="P20" s="4"/>
      <c r="Q20" s="4"/>
    </row>
    <row r="21" ht="15.75" customHeight="1">
      <c r="A21" s="4" t="s">
        <v>104</v>
      </c>
      <c r="B21" s="4">
        <v>4.0</v>
      </c>
      <c r="C21" s="4">
        <v>4.0</v>
      </c>
      <c r="D21" s="4">
        <v>4.0</v>
      </c>
      <c r="E21" s="4">
        <v>4.0</v>
      </c>
      <c r="F21" s="4">
        <v>2.0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/>
      <c r="M21" s="4"/>
      <c r="N21" s="4"/>
      <c r="O21" s="4"/>
      <c r="P21" s="4"/>
      <c r="Q21" s="4"/>
    </row>
    <row r="22" ht="15.75" customHeight="1">
      <c r="A22" s="4" t="s">
        <v>108</v>
      </c>
      <c r="B22" s="4">
        <v>2.0</v>
      </c>
      <c r="C22" s="4">
        <v>2.0</v>
      </c>
      <c r="D22" s="4">
        <v>2.0</v>
      </c>
      <c r="E22" s="4">
        <v>2.0</v>
      </c>
      <c r="F22" s="4">
        <v>1.0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/>
      <c r="M22" s="4"/>
      <c r="N22" s="4"/>
      <c r="O22" s="4"/>
      <c r="P22" s="4"/>
      <c r="Q22" s="4"/>
    </row>
    <row r="23" ht="15.75" customHeight="1">
      <c r="A23" s="4" t="s">
        <v>111</v>
      </c>
      <c r="B23" s="4">
        <v>3.0</v>
      </c>
      <c r="C23" s="4">
        <v>3.0</v>
      </c>
      <c r="D23" s="4">
        <v>3.0</v>
      </c>
      <c r="E23" s="4">
        <v>3.0</v>
      </c>
      <c r="F23" s="4">
        <v>3.0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/>
      <c r="M23" s="4"/>
      <c r="N23" s="4"/>
      <c r="O23" s="4"/>
      <c r="P23" s="4"/>
      <c r="Q23" s="4"/>
    </row>
    <row r="24" ht="15.75" customHeight="1">
      <c r="A24" s="4" t="s">
        <v>115</v>
      </c>
      <c r="B24" s="4">
        <v>2.0</v>
      </c>
      <c r="C24" s="4">
        <v>2.0</v>
      </c>
      <c r="D24" s="4">
        <v>2.0</v>
      </c>
      <c r="E24" s="4">
        <v>2.0</v>
      </c>
      <c r="F24" s="4">
        <v>2.0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/>
      <c r="M24" s="4"/>
      <c r="N24" s="4"/>
      <c r="O24" s="4"/>
      <c r="P24" s="4"/>
      <c r="Q24" s="4"/>
    </row>
    <row r="25" ht="15.75" customHeight="1">
      <c r="A25" s="4" t="s">
        <v>119</v>
      </c>
      <c r="B25" s="4">
        <v>2.0</v>
      </c>
      <c r="C25" s="4">
        <v>2.0</v>
      </c>
      <c r="D25" s="4">
        <v>2.0</v>
      </c>
      <c r="E25" s="4">
        <v>2.0</v>
      </c>
      <c r="F25" s="4">
        <v>1.0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/>
      <c r="M25" s="4"/>
      <c r="N25" s="4"/>
      <c r="O25" s="4"/>
      <c r="P25" s="4"/>
      <c r="Q25" s="4"/>
    </row>
    <row r="26" ht="15.75" customHeight="1">
      <c r="A26" s="4" t="s">
        <v>123</v>
      </c>
      <c r="B26" s="4">
        <v>4.0</v>
      </c>
      <c r="C26" s="4">
        <v>4.0</v>
      </c>
      <c r="D26" s="4">
        <v>4.0</v>
      </c>
      <c r="E26" s="4">
        <v>4.0</v>
      </c>
      <c r="F26" s="4">
        <v>4.0</v>
      </c>
      <c r="G26" s="4">
        <v>2.0</v>
      </c>
      <c r="H26" s="4">
        <v>0.0</v>
      </c>
      <c r="I26" s="4">
        <v>0.0</v>
      </c>
      <c r="J26" s="4">
        <v>0.0</v>
      </c>
      <c r="K26" s="4">
        <v>0.0</v>
      </c>
      <c r="L26" s="4"/>
      <c r="M26" s="4"/>
      <c r="N26" s="4"/>
      <c r="O26" s="4"/>
      <c r="P26" s="4"/>
      <c r="Q26" s="4"/>
    </row>
    <row r="27" ht="15.75" customHeight="1">
      <c r="A27" s="4" t="s">
        <v>125</v>
      </c>
      <c r="B27" s="4">
        <v>4.0</v>
      </c>
      <c r="C27" s="4">
        <v>4.0</v>
      </c>
      <c r="D27" s="4">
        <v>4.0</v>
      </c>
      <c r="E27" s="4">
        <v>4.0</v>
      </c>
      <c r="F27" s="4">
        <v>4.0</v>
      </c>
      <c r="G27" s="4">
        <v>3.0</v>
      </c>
      <c r="H27" s="4">
        <v>0.0</v>
      </c>
      <c r="I27" s="4">
        <v>0.0</v>
      </c>
      <c r="J27" s="4">
        <v>0.0</v>
      </c>
      <c r="K27" s="4">
        <v>0.0</v>
      </c>
      <c r="L27" s="4"/>
      <c r="M27" s="4"/>
      <c r="N27" s="4"/>
      <c r="O27" s="4"/>
      <c r="P27" s="4"/>
      <c r="Q27" s="4"/>
    </row>
    <row r="28" ht="15.75" customHeight="1">
      <c r="A28" s="4" t="s">
        <v>129</v>
      </c>
      <c r="B28" s="4">
        <v>2.0</v>
      </c>
      <c r="C28" s="4">
        <v>2.0</v>
      </c>
      <c r="D28" s="4">
        <v>2.0</v>
      </c>
      <c r="E28" s="4">
        <v>2.0</v>
      </c>
      <c r="F28" s="4">
        <v>2.0</v>
      </c>
      <c r="G28" s="4">
        <v>2.0</v>
      </c>
      <c r="H28" s="4">
        <v>0.0</v>
      </c>
      <c r="I28" s="4">
        <v>0.0</v>
      </c>
      <c r="J28" s="4">
        <v>0.0</v>
      </c>
      <c r="K28" s="4">
        <v>0.0</v>
      </c>
      <c r="L28" s="4"/>
      <c r="M28" s="4"/>
      <c r="N28" s="4"/>
      <c r="O28" s="4"/>
      <c r="P28" s="4"/>
      <c r="Q28" s="4"/>
    </row>
    <row r="29" ht="15.75" customHeight="1">
      <c r="A29" s="4" t="s">
        <v>133</v>
      </c>
      <c r="B29" s="4">
        <v>3.0</v>
      </c>
      <c r="C29" s="4">
        <v>3.0</v>
      </c>
      <c r="D29" s="4">
        <v>3.0</v>
      </c>
      <c r="E29" s="4">
        <v>3.0</v>
      </c>
      <c r="F29" s="4">
        <v>3.0</v>
      </c>
      <c r="G29" s="4">
        <v>3.0</v>
      </c>
      <c r="H29" s="4">
        <v>0.0</v>
      </c>
      <c r="I29" s="4">
        <v>0.0</v>
      </c>
      <c r="J29" s="4">
        <v>0.0</v>
      </c>
      <c r="K29" s="4">
        <v>0.0</v>
      </c>
      <c r="L29" s="4"/>
      <c r="M29" s="4"/>
      <c r="N29" s="4"/>
      <c r="O29" s="4"/>
      <c r="P29" s="4"/>
      <c r="Q29" s="4"/>
    </row>
    <row r="30" ht="15.75" customHeight="1">
      <c r="A30" s="4" t="s">
        <v>137</v>
      </c>
      <c r="B30" s="4">
        <v>2.0</v>
      </c>
      <c r="C30" s="4">
        <v>2.0</v>
      </c>
      <c r="D30" s="4">
        <v>2.0</v>
      </c>
      <c r="E30" s="4">
        <v>2.0</v>
      </c>
      <c r="F30" s="4">
        <v>2.0</v>
      </c>
      <c r="G30" s="4">
        <v>2.0</v>
      </c>
      <c r="H30" s="4">
        <v>0.0</v>
      </c>
      <c r="I30" s="4">
        <v>0.0</v>
      </c>
      <c r="J30" s="4">
        <v>0.0</v>
      </c>
      <c r="K30" s="4">
        <v>0.0</v>
      </c>
      <c r="L30" s="4"/>
      <c r="M30" s="4"/>
      <c r="N30" s="4"/>
      <c r="O30" s="4"/>
      <c r="P30" s="4"/>
      <c r="Q30" s="4"/>
    </row>
    <row r="31" ht="15.75" customHeight="1">
      <c r="A31" s="4" t="s">
        <v>139</v>
      </c>
      <c r="B31" s="4">
        <v>2.0</v>
      </c>
      <c r="C31" s="4">
        <v>2.0</v>
      </c>
      <c r="D31" s="4">
        <v>2.0</v>
      </c>
      <c r="E31" s="4">
        <v>2.0</v>
      </c>
      <c r="F31" s="4">
        <v>2.0</v>
      </c>
      <c r="G31" s="4">
        <v>2.0</v>
      </c>
      <c r="H31" s="4">
        <v>0.0</v>
      </c>
      <c r="I31" s="4">
        <v>0.0</v>
      </c>
      <c r="J31" s="4">
        <v>0.0</v>
      </c>
      <c r="K31" s="4">
        <v>0.0</v>
      </c>
      <c r="L31" s="4"/>
      <c r="M31" s="4"/>
      <c r="N31" s="4"/>
      <c r="O31" s="4"/>
      <c r="P31" s="4"/>
      <c r="Q31" s="4"/>
    </row>
    <row r="32" ht="15.75" customHeight="1">
      <c r="A32" s="4" t="s">
        <v>143</v>
      </c>
      <c r="B32" s="4">
        <v>3.0</v>
      </c>
      <c r="C32" s="4">
        <v>3.0</v>
      </c>
      <c r="D32" s="4">
        <v>3.0</v>
      </c>
      <c r="E32" s="4">
        <v>3.0</v>
      </c>
      <c r="F32" s="4">
        <v>3.0</v>
      </c>
      <c r="G32" s="4">
        <v>3.0</v>
      </c>
      <c r="H32" s="4">
        <v>3.0</v>
      </c>
      <c r="I32" s="4">
        <v>0.0</v>
      </c>
      <c r="J32" s="4">
        <v>0.0</v>
      </c>
      <c r="K32" s="4">
        <v>0.0</v>
      </c>
      <c r="L32" s="4"/>
      <c r="M32" s="4"/>
      <c r="N32" s="4"/>
      <c r="O32" s="4"/>
      <c r="P32" s="4"/>
      <c r="Q32" s="4"/>
    </row>
    <row r="33" ht="15.75" customHeight="1">
      <c r="A33" s="4" t="s">
        <v>147</v>
      </c>
      <c r="B33" s="4">
        <v>2.0</v>
      </c>
      <c r="C33" s="4">
        <v>2.0</v>
      </c>
      <c r="D33" s="4">
        <v>2.0</v>
      </c>
      <c r="E33" s="4">
        <v>2.0</v>
      </c>
      <c r="F33" s="4">
        <v>2.0</v>
      </c>
      <c r="G33" s="4">
        <v>2.0</v>
      </c>
      <c r="H33" s="4">
        <v>2.0</v>
      </c>
      <c r="I33" s="4">
        <v>0.0</v>
      </c>
      <c r="J33" s="4">
        <v>0.0</v>
      </c>
      <c r="K33" s="4">
        <v>0.0</v>
      </c>
      <c r="L33" s="4"/>
      <c r="M33" s="4"/>
      <c r="N33" s="4"/>
      <c r="O33" s="4"/>
      <c r="P33" s="4"/>
      <c r="Q33" s="4"/>
    </row>
    <row r="34" ht="15.75" customHeight="1">
      <c r="A34" s="4" t="s">
        <v>150</v>
      </c>
      <c r="B34" s="4">
        <v>2.0</v>
      </c>
      <c r="C34" s="4">
        <v>2.0</v>
      </c>
      <c r="D34" s="4">
        <v>2.0</v>
      </c>
      <c r="E34" s="4">
        <v>2.0</v>
      </c>
      <c r="F34" s="4">
        <v>2.0</v>
      </c>
      <c r="G34" s="4">
        <v>2.0</v>
      </c>
      <c r="H34" s="4">
        <v>2.0</v>
      </c>
      <c r="I34" s="4">
        <v>0.0</v>
      </c>
      <c r="J34" s="4">
        <v>0.0</v>
      </c>
      <c r="K34" s="4">
        <v>0.0</v>
      </c>
      <c r="L34" s="4"/>
      <c r="M34" s="4"/>
      <c r="N34" s="4"/>
      <c r="O34" s="4"/>
      <c r="P34" s="4"/>
      <c r="Q34" s="4"/>
    </row>
    <row r="35" ht="15.75" customHeight="1">
      <c r="A35" s="4" t="s">
        <v>155</v>
      </c>
      <c r="B35" s="4">
        <v>3.0</v>
      </c>
      <c r="C35" s="4">
        <v>3.0</v>
      </c>
      <c r="D35" s="4">
        <v>3.0</v>
      </c>
      <c r="E35" s="4">
        <v>3.0</v>
      </c>
      <c r="F35" s="4">
        <v>3.0</v>
      </c>
      <c r="G35" s="4">
        <v>3.0</v>
      </c>
      <c r="H35" s="4">
        <v>3.0</v>
      </c>
      <c r="I35" s="4">
        <v>0.0</v>
      </c>
      <c r="J35" s="4">
        <v>0.0</v>
      </c>
      <c r="K35" s="4">
        <v>0.0</v>
      </c>
      <c r="L35" s="4"/>
      <c r="M35" s="4"/>
      <c r="N35" s="4"/>
      <c r="O35" s="4"/>
      <c r="P35" s="4"/>
      <c r="Q35" s="4"/>
    </row>
    <row r="36" ht="15.75" customHeight="1">
      <c r="A36" s="4" t="s">
        <v>157</v>
      </c>
      <c r="B36" s="4">
        <v>2.0</v>
      </c>
      <c r="C36" s="4">
        <v>2.0</v>
      </c>
      <c r="D36" s="4">
        <v>2.0</v>
      </c>
      <c r="E36" s="4">
        <v>2.0</v>
      </c>
      <c r="F36" s="4">
        <v>2.0</v>
      </c>
      <c r="G36" s="4">
        <v>2.0</v>
      </c>
      <c r="H36" s="4">
        <v>2.0</v>
      </c>
      <c r="I36" s="4">
        <v>0.0</v>
      </c>
      <c r="J36" s="4">
        <v>0.0</v>
      </c>
      <c r="K36" s="4">
        <v>0.0</v>
      </c>
      <c r="L36" s="4"/>
      <c r="M36" s="4"/>
      <c r="N36" s="4"/>
      <c r="O36" s="4"/>
      <c r="P36" s="4"/>
      <c r="Q36" s="4"/>
    </row>
    <row r="37" ht="15.75" customHeight="1">
      <c r="A37" s="4" t="s">
        <v>160</v>
      </c>
      <c r="B37" s="4">
        <v>2.0</v>
      </c>
      <c r="C37" s="4">
        <v>2.0</v>
      </c>
      <c r="D37" s="4">
        <v>2.0</v>
      </c>
      <c r="E37" s="4">
        <v>2.0</v>
      </c>
      <c r="F37" s="4">
        <v>2.0</v>
      </c>
      <c r="G37" s="4">
        <v>2.0</v>
      </c>
      <c r="H37" s="4">
        <v>2.0</v>
      </c>
      <c r="I37" s="4">
        <v>1.0</v>
      </c>
      <c r="J37" s="4">
        <v>0.0</v>
      </c>
      <c r="K37" s="4">
        <v>0.0</v>
      </c>
      <c r="L37" s="4"/>
      <c r="M37" s="4"/>
      <c r="N37" s="4"/>
      <c r="O37" s="4"/>
      <c r="P37" s="4"/>
      <c r="Q37" s="4"/>
    </row>
    <row r="38" ht="15.75" customHeight="1">
      <c r="A38" s="4" t="s">
        <v>163</v>
      </c>
      <c r="B38" s="4">
        <v>3.0</v>
      </c>
      <c r="C38" s="4">
        <v>3.0</v>
      </c>
      <c r="D38" s="4">
        <v>3.0</v>
      </c>
      <c r="E38" s="4">
        <v>3.0</v>
      </c>
      <c r="F38" s="4">
        <v>3.0</v>
      </c>
      <c r="G38" s="4">
        <v>3.0</v>
      </c>
      <c r="H38" s="4">
        <v>3.0</v>
      </c>
      <c r="I38" s="4">
        <v>3.0</v>
      </c>
      <c r="J38" s="4">
        <v>0.0</v>
      </c>
      <c r="K38" s="4">
        <v>0.0</v>
      </c>
      <c r="L38" s="4"/>
      <c r="M38" s="4"/>
      <c r="N38" s="4"/>
      <c r="O38" s="4"/>
      <c r="P38" s="4"/>
      <c r="Q38" s="4"/>
    </row>
    <row r="39" ht="15.75" customHeight="1">
      <c r="A39" s="4" t="s">
        <v>165</v>
      </c>
      <c r="B39" s="4">
        <v>2.0</v>
      </c>
      <c r="C39" s="4">
        <v>2.0</v>
      </c>
      <c r="D39" s="4">
        <v>2.0</v>
      </c>
      <c r="E39" s="4">
        <v>2.0</v>
      </c>
      <c r="F39" s="4">
        <v>2.0</v>
      </c>
      <c r="G39" s="4">
        <v>2.0</v>
      </c>
      <c r="H39" s="4">
        <v>2.0</v>
      </c>
      <c r="I39" s="4">
        <v>2.0</v>
      </c>
      <c r="J39" s="4">
        <v>0.0</v>
      </c>
      <c r="K39" s="4">
        <v>0.0</v>
      </c>
      <c r="L39" s="4"/>
      <c r="M39" s="4"/>
      <c r="N39" s="4"/>
      <c r="O39" s="4"/>
      <c r="P39" s="4"/>
      <c r="Q39" s="4"/>
    </row>
    <row r="40" ht="15.75" customHeight="1">
      <c r="A40" s="4" t="s">
        <v>168</v>
      </c>
      <c r="B40" s="4">
        <v>2.0</v>
      </c>
      <c r="C40" s="4">
        <v>2.0</v>
      </c>
      <c r="D40" s="4">
        <v>2.0</v>
      </c>
      <c r="E40" s="4">
        <v>2.0</v>
      </c>
      <c r="F40" s="4">
        <v>2.0</v>
      </c>
      <c r="G40" s="4">
        <v>2.0</v>
      </c>
      <c r="H40" s="4">
        <v>2.0</v>
      </c>
      <c r="I40" s="4">
        <v>2.0</v>
      </c>
      <c r="J40" s="4">
        <v>0.0</v>
      </c>
      <c r="K40" s="4">
        <v>0.0</v>
      </c>
      <c r="L40" s="4"/>
      <c r="M40" s="4"/>
      <c r="N40" s="4"/>
      <c r="O40" s="4"/>
      <c r="P40" s="4"/>
      <c r="Q40" s="4"/>
    </row>
    <row r="41" ht="15.75" customHeight="1">
      <c r="A41" s="4" t="s">
        <v>171</v>
      </c>
      <c r="B41" s="4">
        <v>4.0</v>
      </c>
      <c r="C41" s="4">
        <v>4.0</v>
      </c>
      <c r="D41" s="4">
        <v>4.0</v>
      </c>
      <c r="E41" s="4">
        <v>4.0</v>
      </c>
      <c r="F41" s="4">
        <v>4.0</v>
      </c>
      <c r="G41" s="4">
        <v>4.0</v>
      </c>
      <c r="H41" s="4">
        <v>4.0</v>
      </c>
      <c r="I41" s="4">
        <v>4.0</v>
      </c>
      <c r="J41" s="4">
        <v>1.0</v>
      </c>
      <c r="K41" s="4">
        <v>0.0</v>
      </c>
      <c r="L41" s="4"/>
      <c r="M41" s="4"/>
      <c r="N41" s="4"/>
      <c r="O41" s="4"/>
      <c r="P41" s="4"/>
      <c r="Q41" s="4"/>
    </row>
    <row r="42" ht="15.75" customHeight="1">
      <c r="A42" s="4" t="s">
        <v>173</v>
      </c>
      <c r="B42" s="4">
        <v>4.0</v>
      </c>
      <c r="C42" s="4">
        <v>4.0</v>
      </c>
      <c r="D42" s="4">
        <v>4.0</v>
      </c>
      <c r="E42" s="4">
        <v>4.0</v>
      </c>
      <c r="F42" s="4">
        <v>4.0</v>
      </c>
      <c r="G42" s="4">
        <v>4.0</v>
      </c>
      <c r="H42" s="4">
        <v>4.0</v>
      </c>
      <c r="I42" s="4">
        <v>4.0</v>
      </c>
      <c r="J42" s="4">
        <v>1.0</v>
      </c>
      <c r="K42" s="4">
        <v>0.0</v>
      </c>
      <c r="L42" s="4"/>
      <c r="M42" s="4"/>
      <c r="N42" s="4"/>
      <c r="O42" s="4"/>
      <c r="P42" s="4"/>
      <c r="Q42" s="4"/>
    </row>
    <row r="43" ht="15.75" customHeight="1">
      <c r="A43" s="4" t="s">
        <v>176</v>
      </c>
      <c r="B43" s="4">
        <v>2.0</v>
      </c>
      <c r="C43" s="4">
        <v>2.0</v>
      </c>
      <c r="D43" s="4">
        <v>2.0</v>
      </c>
      <c r="E43" s="4">
        <v>2.0</v>
      </c>
      <c r="F43" s="4">
        <v>2.0</v>
      </c>
      <c r="G43" s="4">
        <v>2.0</v>
      </c>
      <c r="H43" s="4">
        <v>2.0</v>
      </c>
      <c r="I43" s="4">
        <v>2.0</v>
      </c>
      <c r="J43" s="4">
        <v>2.0</v>
      </c>
      <c r="K43" s="4">
        <v>0.0</v>
      </c>
      <c r="L43" s="4"/>
      <c r="M43" s="4"/>
      <c r="N43" s="4"/>
      <c r="O43" s="4"/>
      <c r="P43" s="4"/>
      <c r="Q43" s="4"/>
    </row>
    <row r="44" ht="15.75" customHeight="1">
      <c r="A44" s="4" t="s">
        <v>180</v>
      </c>
      <c r="B44" s="4">
        <v>3.0</v>
      </c>
      <c r="C44" s="4">
        <v>3.0</v>
      </c>
      <c r="D44" s="4">
        <v>3.0</v>
      </c>
      <c r="E44" s="4">
        <v>3.0</v>
      </c>
      <c r="F44" s="4">
        <v>3.0</v>
      </c>
      <c r="G44" s="4">
        <v>3.0</v>
      </c>
      <c r="H44" s="4">
        <v>3.0</v>
      </c>
      <c r="I44" s="4">
        <v>3.0</v>
      </c>
      <c r="J44" s="4">
        <v>3.0</v>
      </c>
      <c r="K44" s="4">
        <v>0.0</v>
      </c>
      <c r="L44" s="4"/>
      <c r="M44" s="4"/>
      <c r="N44" s="4"/>
      <c r="O44" s="4"/>
      <c r="P44" s="4"/>
      <c r="Q44" s="4"/>
    </row>
    <row r="45" ht="15.75" customHeight="1">
      <c r="A45" s="4" t="s">
        <v>182</v>
      </c>
      <c r="B45" s="4">
        <v>3.0</v>
      </c>
      <c r="C45" s="4">
        <v>3.0</v>
      </c>
      <c r="D45" s="4">
        <v>3.0</v>
      </c>
      <c r="E45" s="4">
        <v>3.0</v>
      </c>
      <c r="F45" s="4">
        <v>3.0</v>
      </c>
      <c r="G45" s="4">
        <v>3.0</v>
      </c>
      <c r="H45" s="4">
        <v>3.0</v>
      </c>
      <c r="I45" s="4">
        <v>3.0</v>
      </c>
      <c r="J45" s="4">
        <v>3.0</v>
      </c>
      <c r="K45" s="4">
        <v>0.0</v>
      </c>
      <c r="L45" s="4"/>
      <c r="M45" s="4"/>
      <c r="N45" s="4"/>
      <c r="O45" s="4"/>
      <c r="P45" s="4"/>
      <c r="Q45" s="4"/>
    </row>
    <row r="46" ht="15.75" customHeight="1">
      <c r="A46" s="4" t="s">
        <v>185</v>
      </c>
      <c r="B46" s="4">
        <v>3.0</v>
      </c>
      <c r="C46" s="4">
        <v>3.0</v>
      </c>
      <c r="D46" s="4">
        <v>3.0</v>
      </c>
      <c r="E46" s="4">
        <v>3.0</v>
      </c>
      <c r="F46" s="4">
        <v>3.0</v>
      </c>
      <c r="G46" s="4">
        <v>3.0</v>
      </c>
      <c r="H46" s="4">
        <v>3.0</v>
      </c>
      <c r="I46" s="4">
        <v>3.0</v>
      </c>
      <c r="J46" s="4">
        <v>3.0</v>
      </c>
      <c r="K46" s="4">
        <v>0.0</v>
      </c>
      <c r="L46" s="4"/>
      <c r="M46" s="4"/>
      <c r="N46" s="4"/>
      <c r="O46" s="4"/>
      <c r="P46" s="4"/>
      <c r="Q46" s="4"/>
    </row>
    <row r="47" ht="15.75" customHeight="1"/>
    <row r="48" ht="15.75" customHeight="1">
      <c r="A48" s="3" t="s">
        <v>152</v>
      </c>
    </row>
    <row r="49" ht="15.75" customHeight="1">
      <c r="A49" s="7" t="s">
        <v>153</v>
      </c>
      <c r="B49" s="7">
        <v>0.0</v>
      </c>
      <c r="C49" s="7">
        <v>1.0</v>
      </c>
      <c r="D49" s="7">
        <v>2.0</v>
      </c>
      <c r="E49" s="7">
        <v>3.0</v>
      </c>
      <c r="F49" s="7">
        <v>4.0</v>
      </c>
      <c r="G49" s="7">
        <v>5.0</v>
      </c>
      <c r="H49" s="7">
        <v>6.0</v>
      </c>
      <c r="I49" s="7">
        <v>7.0</v>
      </c>
      <c r="J49" s="7">
        <v>8.0</v>
      </c>
      <c r="K49" s="7">
        <v>9.0</v>
      </c>
      <c r="L49" s="7">
        <v>10.0</v>
      </c>
      <c r="M49" s="7">
        <v>11.0</v>
      </c>
      <c r="N49" s="7">
        <v>12.0</v>
      </c>
      <c r="O49" s="7">
        <v>13.0</v>
      </c>
      <c r="P49" s="7">
        <v>14.0</v>
      </c>
      <c r="Q49" s="7">
        <v>15.0</v>
      </c>
    </row>
    <row r="50" ht="15.75" customHeight="1">
      <c r="A50" s="7" t="s">
        <v>161</v>
      </c>
      <c r="B50" s="8">
        <f>SUM(B6:B46)</f>
        <v>119</v>
      </c>
      <c r="C50" s="8">
        <f>IF(1&gt;$C$3,NA(),IF(COUNT(C6:C46)=0,NA(),SUM(C6:C46)))</f>
        <v>104</v>
      </c>
      <c r="D50" s="8">
        <f>IF(2&gt;$C$3,NA(),IF(COUNT(D6:D46)=0,NA(),SUM(D6:D46)))</f>
        <v>92</v>
      </c>
      <c r="E50" s="8">
        <f>IF(3&gt;$C$3,NA(),IF(COUNT(E6:E46)=0,NA(),SUM(E6:E46)))</f>
        <v>79</v>
      </c>
      <c r="F50" s="8">
        <f>IF(4&gt;$C$3,NA(),IF(COUNT(F6:F46)=0,NA(),SUM(F6:F46)))</f>
        <v>66</v>
      </c>
      <c r="G50" s="8">
        <f>IF(5&gt;$C$3,NA(),IF(COUNT(G6:G46)=0,NA(),SUM(G6:G46)))</f>
        <v>54</v>
      </c>
      <c r="H50" s="8">
        <f>IF(6&gt;$C$3,NA(),IF(COUNT(H6:H46)=0,NA(),SUM(H6:H46)))</f>
        <v>40</v>
      </c>
      <c r="I50" s="8">
        <f>IF(7&gt;$C$3,NA(),IF(COUNT(I6:I46)=0,NA(),SUM(I6:I46)))</f>
        <v>27</v>
      </c>
      <c r="J50" s="8">
        <f>IF(8&gt;$C$3,NA(),IF(COUNT(J6:J46)=0,NA(),SUM(J6:J46)))</f>
        <v>13</v>
      </c>
      <c r="K50" s="8">
        <f>IF(9&gt;$C$3,NA(),IF(COUNT(K6:K46)=0,NA(),SUM(K6:K46)))</f>
        <v>0</v>
      </c>
      <c r="L50" s="8" t="str">
        <f>IF(10&gt;$C$3,NA(),IF(COUNT(L6:L46)=0,NA(),SUM(L6:L46)))</f>
        <v>#N/A</v>
      </c>
      <c r="M50" s="8" t="str">
        <f>IF(11&gt;$C$3,NA(),IF(COUNT(M6:M46)=0,NA(),SUM(M6:M46)))</f>
        <v>#N/A</v>
      </c>
      <c r="N50" s="8" t="str">
        <f>IF(12&gt;$C$3,NA(),IF(COUNT(N6:N46)=0,NA(),SUM(N6:N46)))</f>
        <v>#N/A</v>
      </c>
      <c r="O50" s="8" t="str">
        <f>IF(13&gt;$C$3,NA(),IF(COUNT(O6:O46)=0,NA(),SUM(O6:O46)))</f>
        <v>#N/A</v>
      </c>
      <c r="P50" s="8" t="str">
        <f>IF(14&gt;$C$3,NA(),IF(COUNT(P6:P46)=0,NA(),SUM(P6:P46)))</f>
        <v>#N/A</v>
      </c>
      <c r="Q50" s="8" t="str">
        <f>IF(15&gt;$C$3,NA(),IF(COUNT(Q6:Q46)=0,NA(),SUM(Q6:Q46)))</f>
        <v>#N/A</v>
      </c>
    </row>
    <row r="51" ht="15.75" customHeight="1">
      <c r="A51" s="7" t="s">
        <v>209</v>
      </c>
      <c r="B51" s="9">
        <f>IF(0&gt;$C$3,NA(),$B$50*(1-0/$C$3))</f>
        <v>119</v>
      </c>
      <c r="C51" s="9">
        <f>IF(1&gt;$C$3,NA(),$B$50*(1-1/$C$3))</f>
        <v>105.7777778</v>
      </c>
      <c r="D51" s="9">
        <f>IF(2&gt;$C$3,NA(),$B$50*(1-2/$C$3))</f>
        <v>92.55555556</v>
      </c>
      <c r="E51" s="9">
        <f>IF(3&gt;$C$3,NA(),$B$50*(1-3/$C$3))</f>
        <v>79.33333333</v>
      </c>
      <c r="F51" s="9">
        <f>IF(4&gt;$C$3,NA(),$B$50*(1-4/$C$3))</f>
        <v>66.11111111</v>
      </c>
      <c r="G51" s="9">
        <f>IF(5&gt;$C$3,NA(),$B$50*(1-5/$C$3))</f>
        <v>52.88888889</v>
      </c>
      <c r="H51" s="9">
        <f>IF(6&gt;$C$3,NA(),$B$50*(1-6/$C$3))</f>
        <v>39.66666667</v>
      </c>
      <c r="I51" s="9">
        <f>IF(7&gt;$C$3,NA(),$B$50*(1-7/$C$3))</f>
        <v>26.44444444</v>
      </c>
      <c r="J51" s="9">
        <f>IF(8&gt;$C$3,NA(),$B$50*(1-8/$C$3))</f>
        <v>13.22222222</v>
      </c>
      <c r="K51" s="9">
        <f>IF(9&gt;$C$3,NA(),$B$50*(1-9/$C$3))</f>
        <v>0</v>
      </c>
      <c r="L51" s="9" t="str">
        <f>IF(10&gt;$C$3,NA(),$B$50*(1-10/$C$3))</f>
        <v>#N/A</v>
      </c>
      <c r="M51" s="9" t="str">
        <f>IF(11&gt;$C$3,NA(),$B$50*(1-11/$C$3))</f>
        <v>#N/A</v>
      </c>
      <c r="N51" s="9" t="str">
        <f>IF(12&gt;$C$3,NA(),$B$50*(1-12/$C$3))</f>
        <v>#N/A</v>
      </c>
      <c r="O51" s="9" t="str">
        <f>IF(13&gt;$C$3,NA(),$B$50*(1-13/$C$3))</f>
        <v>#N/A</v>
      </c>
      <c r="P51" s="9" t="str">
        <f>IF(14&gt;$C$3,NA(),$B$50*(1-14/$C$3))</f>
        <v>#N/A</v>
      </c>
      <c r="Q51" s="9" t="str">
        <f>IF(15&gt;$C$3,NA(),$B$50*(1-15/$C$3))</f>
        <v>#N/A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6.0"/>
    <col customWidth="1" min="2" max="2" width="11.0"/>
    <col customWidth="1" min="3" max="17" width="7.43"/>
    <col customWidth="1" min="18" max="26" width="8.71"/>
  </cols>
  <sheetData>
    <row r="1">
      <c r="A1" s="1" t="s">
        <v>0</v>
      </c>
    </row>
    <row r="2">
      <c r="A2" s="2" t="s">
        <v>5</v>
      </c>
    </row>
    <row r="3">
      <c r="A3" s="3" t="s">
        <v>6</v>
      </c>
      <c r="C3" s="4">
        <v>10.0</v>
      </c>
    </row>
    <row r="4">
      <c r="D4" s="2" t="s">
        <v>7</v>
      </c>
    </row>
    <row r="5" ht="27.75" customHeight="1">
      <c r="A5" s="5" t="s">
        <v>8</v>
      </c>
      <c r="B5" s="5" t="s">
        <v>9</v>
      </c>
      <c r="C5" s="5" t="s">
        <v>26</v>
      </c>
      <c r="D5" s="5" t="s">
        <v>30</v>
      </c>
      <c r="E5" s="5" t="s">
        <v>34</v>
      </c>
      <c r="F5" s="5" t="s">
        <v>40</v>
      </c>
      <c r="G5" s="5" t="s">
        <v>44</v>
      </c>
      <c r="H5" s="5" t="s">
        <v>46</v>
      </c>
      <c r="I5" s="5" t="s">
        <v>48</v>
      </c>
      <c r="J5" s="5" t="s">
        <v>51</v>
      </c>
      <c r="K5" s="5" t="s">
        <v>52</v>
      </c>
      <c r="L5" s="5" t="s">
        <v>55</v>
      </c>
      <c r="M5" s="5" t="s">
        <v>38</v>
      </c>
      <c r="N5" s="5" t="s">
        <v>43</v>
      </c>
      <c r="O5" s="5" t="s">
        <v>45</v>
      </c>
      <c r="P5" s="5" t="s">
        <v>47</v>
      </c>
      <c r="Q5" s="5" t="s">
        <v>49</v>
      </c>
    </row>
    <row r="6">
      <c r="A6" s="4" t="s">
        <v>60</v>
      </c>
      <c r="B6" s="4">
        <v>8.0</v>
      </c>
      <c r="C6" s="4">
        <v>4.0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/>
      <c r="N6" s="4"/>
      <c r="O6" s="4"/>
      <c r="P6" s="4"/>
      <c r="Q6" s="4"/>
    </row>
    <row r="7">
      <c r="A7" s="4" t="s">
        <v>66</v>
      </c>
      <c r="B7" s="4">
        <v>7.0</v>
      </c>
      <c r="C7" s="4">
        <v>3.0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/>
      <c r="N7" s="4"/>
      <c r="O7" s="4"/>
      <c r="P7" s="4"/>
      <c r="Q7" s="4"/>
    </row>
    <row r="8">
      <c r="A8" s="4" t="s">
        <v>70</v>
      </c>
      <c r="B8" s="4">
        <v>4.0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/>
      <c r="N8" s="4"/>
      <c r="O8" s="4"/>
      <c r="P8" s="4"/>
      <c r="Q8" s="4"/>
    </row>
    <row r="9">
      <c r="A9" s="4" t="s">
        <v>75</v>
      </c>
      <c r="B9" s="4">
        <v>3.0</v>
      </c>
      <c r="C9" s="4">
        <v>3.0</v>
      </c>
      <c r="D9" s="4">
        <v>2.0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/>
      <c r="N9" s="4"/>
      <c r="O9" s="4"/>
      <c r="P9" s="4"/>
      <c r="Q9" s="4"/>
    </row>
    <row r="10">
      <c r="A10" s="4" t="s">
        <v>79</v>
      </c>
      <c r="B10" s="4">
        <v>2.0</v>
      </c>
      <c r="C10" s="4">
        <v>2.0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/>
      <c r="N10" s="4"/>
      <c r="O10" s="4"/>
      <c r="P10" s="4"/>
      <c r="Q10" s="4"/>
    </row>
    <row r="11">
      <c r="A11" s="4" t="s">
        <v>84</v>
      </c>
      <c r="B11" s="4">
        <v>2.0</v>
      </c>
      <c r="C11" s="4">
        <v>1.0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/>
      <c r="N11" s="4"/>
      <c r="O11" s="4"/>
      <c r="P11" s="4"/>
      <c r="Q11" s="4"/>
    </row>
    <row r="12">
      <c r="A12" s="4" t="s">
        <v>89</v>
      </c>
      <c r="B12" s="4">
        <v>3.0</v>
      </c>
      <c r="C12" s="4">
        <v>3.0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/>
      <c r="N12" s="4"/>
      <c r="O12" s="4"/>
      <c r="P12" s="4"/>
      <c r="Q12" s="4"/>
    </row>
    <row r="13">
      <c r="A13" s="4" t="s">
        <v>93</v>
      </c>
      <c r="B13" s="4">
        <v>2.0</v>
      </c>
      <c r="C13" s="4">
        <v>2.0</v>
      </c>
      <c r="D13" s="4">
        <v>2.0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/>
      <c r="N13" s="4"/>
      <c r="O13" s="4"/>
      <c r="P13" s="4"/>
      <c r="Q13" s="4"/>
    </row>
    <row r="14">
      <c r="A14" s="4" t="s">
        <v>99</v>
      </c>
      <c r="B14" s="4">
        <v>4.0</v>
      </c>
      <c r="C14" s="4">
        <v>4.0</v>
      </c>
      <c r="D14" s="4">
        <v>4.0</v>
      </c>
      <c r="E14" s="4">
        <v>2.0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/>
      <c r="N14" s="4"/>
      <c r="O14" s="4"/>
      <c r="P14" s="4"/>
      <c r="Q14" s="4"/>
    </row>
    <row r="15">
      <c r="A15" s="4" t="s">
        <v>103</v>
      </c>
      <c r="B15" s="4">
        <v>4.0</v>
      </c>
      <c r="C15" s="4">
        <v>4.0</v>
      </c>
      <c r="D15" s="4">
        <v>4.0</v>
      </c>
      <c r="E15" s="4">
        <v>2.0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/>
      <c r="N15" s="4"/>
      <c r="O15" s="4"/>
      <c r="P15" s="4"/>
      <c r="Q15" s="4"/>
    </row>
    <row r="16">
      <c r="A16" s="4" t="s">
        <v>107</v>
      </c>
      <c r="B16" s="4">
        <v>2.0</v>
      </c>
      <c r="C16" s="4">
        <v>2.0</v>
      </c>
      <c r="D16" s="4">
        <v>2.0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/>
      <c r="N16" s="4"/>
      <c r="O16" s="4"/>
      <c r="P16" s="4"/>
      <c r="Q16" s="4"/>
    </row>
    <row r="17">
      <c r="A17" s="4" t="s">
        <v>112</v>
      </c>
      <c r="B17" s="4">
        <v>3.0</v>
      </c>
      <c r="C17" s="4">
        <v>3.0</v>
      </c>
      <c r="D17" s="4">
        <v>3.0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/>
      <c r="N17" s="4"/>
      <c r="O17" s="4"/>
      <c r="P17" s="4"/>
      <c r="Q17" s="4"/>
    </row>
    <row r="18">
      <c r="A18" s="4" t="s">
        <v>117</v>
      </c>
      <c r="B18" s="4">
        <v>2.0</v>
      </c>
      <c r="C18" s="4">
        <v>2.0</v>
      </c>
      <c r="D18" s="4">
        <v>2.0</v>
      </c>
      <c r="E18" s="4">
        <v>2.0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/>
      <c r="N18" s="4"/>
      <c r="O18" s="4"/>
      <c r="P18" s="4"/>
      <c r="Q18" s="4"/>
    </row>
    <row r="19">
      <c r="A19" s="4" t="s">
        <v>121</v>
      </c>
      <c r="B19" s="4">
        <v>2.0</v>
      </c>
      <c r="C19" s="4">
        <v>2.0</v>
      </c>
      <c r="D19" s="4">
        <v>2.0</v>
      </c>
      <c r="E19" s="4">
        <v>2.0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/>
      <c r="N19" s="4"/>
      <c r="O19" s="4"/>
      <c r="P19" s="4"/>
      <c r="Q19" s="4"/>
    </row>
    <row r="20">
      <c r="A20" s="4" t="s">
        <v>127</v>
      </c>
      <c r="B20" s="4">
        <v>4.0</v>
      </c>
      <c r="C20" s="4">
        <v>4.0</v>
      </c>
      <c r="D20" s="4">
        <v>4.0</v>
      </c>
      <c r="E20" s="4">
        <v>4.0</v>
      </c>
      <c r="F20" s="4">
        <v>3.0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/>
      <c r="N20" s="4"/>
      <c r="O20" s="4"/>
      <c r="P20" s="4"/>
      <c r="Q20" s="4"/>
    </row>
    <row r="21" ht="15.75" customHeight="1">
      <c r="A21" s="4" t="s">
        <v>132</v>
      </c>
      <c r="B21" s="4">
        <v>4.0</v>
      </c>
      <c r="C21" s="4">
        <v>4.0</v>
      </c>
      <c r="D21" s="4">
        <v>4.0</v>
      </c>
      <c r="E21" s="4">
        <v>4.0</v>
      </c>
      <c r="F21" s="4">
        <v>3.0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/>
      <c r="N21" s="4"/>
      <c r="O21" s="4"/>
      <c r="P21" s="4"/>
      <c r="Q21" s="4"/>
    </row>
    <row r="22" ht="15.75" customHeight="1">
      <c r="A22" s="4" t="s">
        <v>136</v>
      </c>
      <c r="B22" s="4">
        <v>2.0</v>
      </c>
      <c r="C22" s="4">
        <v>2.0</v>
      </c>
      <c r="D22" s="4">
        <v>2.0</v>
      </c>
      <c r="E22" s="4">
        <v>2.0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/>
      <c r="N22" s="4"/>
      <c r="O22" s="4"/>
      <c r="P22" s="4"/>
      <c r="Q22" s="4"/>
    </row>
    <row r="23" ht="15.75" customHeight="1">
      <c r="A23" s="4" t="s">
        <v>142</v>
      </c>
      <c r="B23" s="4">
        <v>4.0</v>
      </c>
      <c r="C23" s="4">
        <v>4.0</v>
      </c>
      <c r="D23" s="4">
        <v>4.0</v>
      </c>
      <c r="E23" s="4">
        <v>4.0</v>
      </c>
      <c r="F23" s="4">
        <v>2.0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/>
      <c r="N23" s="4"/>
      <c r="O23" s="4"/>
      <c r="P23" s="4"/>
      <c r="Q23" s="4"/>
    </row>
    <row r="24" ht="15.75" customHeight="1">
      <c r="A24" s="4" t="s">
        <v>146</v>
      </c>
      <c r="B24" s="4">
        <v>4.0</v>
      </c>
      <c r="C24" s="4">
        <v>4.0</v>
      </c>
      <c r="D24" s="4">
        <v>4.0</v>
      </c>
      <c r="E24" s="4">
        <v>4.0</v>
      </c>
      <c r="F24" s="4">
        <v>4.0</v>
      </c>
      <c r="G24" s="4">
        <v>4.0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/>
      <c r="N24" s="4"/>
      <c r="O24" s="4"/>
      <c r="P24" s="4"/>
      <c r="Q24" s="4"/>
    </row>
    <row r="25" ht="15.75" customHeight="1">
      <c r="A25" s="4" t="s">
        <v>151</v>
      </c>
      <c r="B25" s="4">
        <v>2.0</v>
      </c>
      <c r="C25" s="4">
        <v>2.0</v>
      </c>
      <c r="D25" s="4">
        <v>2.0</v>
      </c>
      <c r="E25" s="4">
        <v>2.0</v>
      </c>
      <c r="F25" s="4">
        <v>2.0</v>
      </c>
      <c r="G25" s="4">
        <v>1.0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/>
      <c r="N25" s="4"/>
      <c r="O25" s="4"/>
      <c r="P25" s="4"/>
      <c r="Q25" s="4"/>
    </row>
    <row r="26" ht="15.75" customHeight="1">
      <c r="A26" s="4" t="s">
        <v>156</v>
      </c>
      <c r="B26" s="4">
        <v>3.0</v>
      </c>
      <c r="C26" s="4">
        <v>3.0</v>
      </c>
      <c r="D26" s="4">
        <v>3.0</v>
      </c>
      <c r="E26" s="4">
        <v>3.0</v>
      </c>
      <c r="F26" s="4">
        <v>3.0</v>
      </c>
      <c r="G26" s="4">
        <v>3.0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/>
      <c r="N26" s="4"/>
      <c r="O26" s="4"/>
      <c r="P26" s="4"/>
      <c r="Q26" s="4"/>
    </row>
    <row r="27" ht="15.75" customHeight="1">
      <c r="A27" s="4" t="s">
        <v>159</v>
      </c>
      <c r="B27" s="4">
        <v>2.0</v>
      </c>
      <c r="C27" s="4">
        <v>2.0</v>
      </c>
      <c r="D27" s="4">
        <v>2.0</v>
      </c>
      <c r="E27" s="4">
        <v>2.0</v>
      </c>
      <c r="F27" s="4">
        <v>2.0</v>
      </c>
      <c r="G27" s="4">
        <v>2.0</v>
      </c>
      <c r="H27" s="4">
        <v>2.0</v>
      </c>
      <c r="I27" s="4">
        <v>0.0</v>
      </c>
      <c r="J27" s="4">
        <v>0.0</v>
      </c>
      <c r="K27" s="4">
        <v>0.0</v>
      </c>
      <c r="L27" s="4">
        <v>0.0</v>
      </c>
      <c r="M27" s="4"/>
      <c r="N27" s="4"/>
      <c r="O27" s="4"/>
      <c r="P27" s="4"/>
      <c r="Q27" s="4"/>
    </row>
    <row r="28" ht="15.75" customHeight="1">
      <c r="A28" s="4" t="s">
        <v>164</v>
      </c>
      <c r="B28" s="4">
        <v>2.0</v>
      </c>
      <c r="C28" s="4">
        <v>2.0</v>
      </c>
      <c r="D28" s="4">
        <v>2.0</v>
      </c>
      <c r="E28" s="4">
        <v>2.0</v>
      </c>
      <c r="F28" s="4">
        <v>2.0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/>
      <c r="N28" s="4"/>
      <c r="O28" s="4"/>
      <c r="P28" s="4"/>
      <c r="Q28" s="4"/>
    </row>
    <row r="29" ht="15.75" customHeight="1">
      <c r="A29" s="4" t="s">
        <v>167</v>
      </c>
      <c r="B29" s="4">
        <v>3.0</v>
      </c>
      <c r="C29" s="4">
        <v>3.0</v>
      </c>
      <c r="D29" s="4">
        <v>3.0</v>
      </c>
      <c r="E29" s="4">
        <v>3.0</v>
      </c>
      <c r="F29" s="4">
        <v>3.0</v>
      </c>
      <c r="G29" s="4">
        <v>2.0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/>
      <c r="N29" s="4"/>
      <c r="O29" s="4"/>
      <c r="P29" s="4"/>
      <c r="Q29" s="4"/>
    </row>
    <row r="30" ht="15.75" customHeight="1">
      <c r="A30" s="4" t="s">
        <v>170</v>
      </c>
      <c r="B30" s="4">
        <v>2.0</v>
      </c>
      <c r="C30" s="4">
        <v>2.0</v>
      </c>
      <c r="D30" s="4">
        <v>2.0</v>
      </c>
      <c r="E30" s="4">
        <v>2.0</v>
      </c>
      <c r="F30" s="4">
        <v>2.0</v>
      </c>
      <c r="G30" s="4">
        <v>2.0</v>
      </c>
      <c r="H30" s="4">
        <v>2.0</v>
      </c>
      <c r="I30" s="4">
        <v>0.0</v>
      </c>
      <c r="J30" s="4">
        <v>0.0</v>
      </c>
      <c r="K30" s="4">
        <v>0.0</v>
      </c>
      <c r="L30" s="4">
        <v>0.0</v>
      </c>
      <c r="M30" s="4"/>
      <c r="N30" s="4"/>
      <c r="O30" s="4"/>
      <c r="P30" s="4"/>
      <c r="Q30" s="4"/>
    </row>
    <row r="31" ht="15.75" customHeight="1">
      <c r="A31" s="4" t="s">
        <v>174</v>
      </c>
      <c r="B31" s="4">
        <v>2.0</v>
      </c>
      <c r="C31" s="4">
        <v>2.0</v>
      </c>
      <c r="D31" s="4">
        <v>2.0</v>
      </c>
      <c r="E31" s="4">
        <v>2.0</v>
      </c>
      <c r="F31" s="4">
        <v>2.0</v>
      </c>
      <c r="G31" s="4">
        <v>2.0</v>
      </c>
      <c r="H31" s="4">
        <v>1.0</v>
      </c>
      <c r="I31" s="4">
        <v>0.0</v>
      </c>
      <c r="J31" s="4">
        <v>0.0</v>
      </c>
      <c r="K31" s="4">
        <v>0.0</v>
      </c>
      <c r="L31" s="4">
        <v>0.0</v>
      </c>
      <c r="M31" s="4"/>
      <c r="N31" s="4"/>
      <c r="O31" s="4"/>
      <c r="P31" s="4"/>
      <c r="Q31" s="4"/>
    </row>
    <row r="32" ht="15.75" customHeight="1">
      <c r="A32" s="4" t="s">
        <v>177</v>
      </c>
      <c r="B32" s="4">
        <v>3.0</v>
      </c>
      <c r="C32" s="4">
        <v>3.0</v>
      </c>
      <c r="D32" s="4">
        <v>3.0</v>
      </c>
      <c r="E32" s="4">
        <v>3.0</v>
      </c>
      <c r="F32" s="4">
        <v>3.0</v>
      </c>
      <c r="G32" s="4">
        <v>3.0</v>
      </c>
      <c r="H32" s="4">
        <v>3.0</v>
      </c>
      <c r="I32" s="4">
        <v>0.0</v>
      </c>
      <c r="J32" s="4">
        <v>0.0</v>
      </c>
      <c r="K32" s="4">
        <v>0.0</v>
      </c>
      <c r="L32" s="4">
        <v>0.0</v>
      </c>
      <c r="M32" s="4"/>
      <c r="N32" s="4"/>
      <c r="O32" s="4"/>
      <c r="P32" s="4"/>
      <c r="Q32" s="4"/>
    </row>
    <row r="33" ht="15.75" customHeight="1">
      <c r="A33" s="4" t="s">
        <v>178</v>
      </c>
      <c r="B33" s="4">
        <v>2.0</v>
      </c>
      <c r="C33" s="4">
        <v>2.0</v>
      </c>
      <c r="D33" s="4">
        <v>2.0</v>
      </c>
      <c r="E33" s="4">
        <v>2.0</v>
      </c>
      <c r="F33" s="4">
        <v>2.0</v>
      </c>
      <c r="G33" s="4">
        <v>2.0</v>
      </c>
      <c r="H33" s="4">
        <v>2.0</v>
      </c>
      <c r="I33" s="4">
        <v>1.0</v>
      </c>
      <c r="J33" s="4">
        <v>0.0</v>
      </c>
      <c r="K33" s="4">
        <v>0.0</v>
      </c>
      <c r="L33" s="4">
        <v>0.0</v>
      </c>
      <c r="M33" s="4"/>
      <c r="N33" s="4"/>
      <c r="O33" s="4"/>
      <c r="P33" s="4"/>
      <c r="Q33" s="4"/>
    </row>
    <row r="34" ht="15.75" customHeight="1">
      <c r="A34" s="4" t="s">
        <v>181</v>
      </c>
      <c r="B34" s="4">
        <v>2.0</v>
      </c>
      <c r="C34" s="4">
        <v>2.0</v>
      </c>
      <c r="D34" s="4">
        <v>2.0</v>
      </c>
      <c r="E34" s="4">
        <v>2.0</v>
      </c>
      <c r="F34" s="4">
        <v>2.0</v>
      </c>
      <c r="G34" s="4">
        <v>2.0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/>
      <c r="N34" s="4"/>
      <c r="O34" s="4"/>
      <c r="P34" s="4"/>
      <c r="Q34" s="4"/>
    </row>
    <row r="35" ht="15.75" customHeight="1">
      <c r="A35" s="4" t="s">
        <v>184</v>
      </c>
      <c r="B35" s="4">
        <v>8.0</v>
      </c>
      <c r="C35" s="4">
        <v>8.0</v>
      </c>
      <c r="D35" s="4">
        <v>8.0</v>
      </c>
      <c r="E35" s="4">
        <v>8.0</v>
      </c>
      <c r="F35" s="4">
        <v>8.0</v>
      </c>
      <c r="G35" s="4">
        <v>8.0</v>
      </c>
      <c r="H35" s="4">
        <v>7.0</v>
      </c>
      <c r="I35" s="4">
        <v>3.0</v>
      </c>
      <c r="J35" s="4">
        <v>0.0</v>
      </c>
      <c r="K35" s="4">
        <v>0.0</v>
      </c>
      <c r="L35" s="4">
        <v>0.0</v>
      </c>
      <c r="M35" s="4"/>
      <c r="N35" s="4"/>
      <c r="O35" s="4"/>
      <c r="P35" s="4"/>
      <c r="Q35" s="4"/>
    </row>
    <row r="36" ht="15.75" customHeight="1">
      <c r="A36" s="4" t="s">
        <v>187</v>
      </c>
      <c r="B36" s="4">
        <v>7.0</v>
      </c>
      <c r="C36" s="4">
        <v>7.0</v>
      </c>
      <c r="D36" s="4">
        <v>7.0</v>
      </c>
      <c r="E36" s="4">
        <v>7.0</v>
      </c>
      <c r="F36" s="4">
        <v>7.0</v>
      </c>
      <c r="G36" s="4">
        <v>7.0</v>
      </c>
      <c r="H36" s="4">
        <v>7.0</v>
      </c>
      <c r="I36" s="4">
        <v>7.0</v>
      </c>
      <c r="J36" s="4">
        <v>4.0</v>
      </c>
      <c r="K36" s="4">
        <v>0.0</v>
      </c>
      <c r="L36" s="4">
        <v>0.0</v>
      </c>
      <c r="M36" s="4"/>
      <c r="N36" s="4"/>
      <c r="O36" s="4"/>
      <c r="P36" s="4"/>
      <c r="Q36" s="4"/>
    </row>
    <row r="37" ht="15.75" customHeight="1">
      <c r="A37" s="4" t="s">
        <v>189</v>
      </c>
      <c r="B37" s="4">
        <v>4.0</v>
      </c>
      <c r="C37" s="4">
        <v>4.0</v>
      </c>
      <c r="D37" s="4">
        <v>4.0</v>
      </c>
      <c r="E37" s="4">
        <v>4.0</v>
      </c>
      <c r="F37" s="4">
        <v>4.0</v>
      </c>
      <c r="G37" s="4">
        <v>4.0</v>
      </c>
      <c r="H37" s="4">
        <v>4.0</v>
      </c>
      <c r="I37" s="4">
        <v>3.0</v>
      </c>
      <c r="J37" s="4">
        <v>0.0</v>
      </c>
      <c r="K37" s="4">
        <v>0.0</v>
      </c>
      <c r="L37" s="4">
        <v>0.0</v>
      </c>
      <c r="M37" s="4"/>
      <c r="N37" s="4"/>
      <c r="O37" s="4"/>
      <c r="P37" s="4"/>
      <c r="Q37" s="4"/>
    </row>
    <row r="38" ht="15.75" customHeight="1">
      <c r="A38" s="4" t="s">
        <v>190</v>
      </c>
      <c r="B38" s="4">
        <v>3.0</v>
      </c>
      <c r="C38" s="4">
        <v>3.0</v>
      </c>
      <c r="D38" s="4">
        <v>3.0</v>
      </c>
      <c r="E38" s="4">
        <v>3.0</v>
      </c>
      <c r="F38" s="4">
        <v>3.0</v>
      </c>
      <c r="G38" s="4">
        <v>3.0</v>
      </c>
      <c r="H38" s="4">
        <v>3.0</v>
      </c>
      <c r="I38" s="4">
        <v>3.0</v>
      </c>
      <c r="J38" s="4">
        <v>2.0</v>
      </c>
      <c r="K38" s="4">
        <v>0.0</v>
      </c>
      <c r="L38" s="4">
        <v>0.0</v>
      </c>
      <c r="M38" s="4"/>
      <c r="N38" s="4"/>
      <c r="O38" s="4"/>
      <c r="P38" s="4"/>
      <c r="Q38" s="4"/>
    </row>
    <row r="39" ht="15.75" customHeight="1">
      <c r="A39" s="4" t="s">
        <v>192</v>
      </c>
      <c r="B39" s="4">
        <v>2.0</v>
      </c>
      <c r="C39" s="4">
        <v>2.0</v>
      </c>
      <c r="D39" s="4">
        <v>2.0</v>
      </c>
      <c r="E39" s="4">
        <v>2.0</v>
      </c>
      <c r="F39" s="4">
        <v>2.0</v>
      </c>
      <c r="G39" s="4">
        <v>2.0</v>
      </c>
      <c r="H39" s="4">
        <v>2.0</v>
      </c>
      <c r="I39" s="4">
        <v>2.0</v>
      </c>
      <c r="J39" s="4">
        <v>2.0</v>
      </c>
      <c r="K39" s="4">
        <v>2.0</v>
      </c>
      <c r="L39" s="4">
        <v>0.0</v>
      </c>
      <c r="M39" s="4"/>
      <c r="N39" s="4"/>
      <c r="O39" s="4"/>
      <c r="P39" s="4"/>
      <c r="Q39" s="4"/>
    </row>
    <row r="40" ht="15.75" customHeight="1">
      <c r="A40" s="4" t="s">
        <v>194</v>
      </c>
      <c r="B40" s="4">
        <v>2.0</v>
      </c>
      <c r="C40" s="4">
        <v>2.0</v>
      </c>
      <c r="D40" s="4">
        <v>2.0</v>
      </c>
      <c r="E40" s="4">
        <v>2.0</v>
      </c>
      <c r="F40" s="4">
        <v>2.0</v>
      </c>
      <c r="G40" s="4">
        <v>2.0</v>
      </c>
      <c r="H40" s="4">
        <v>2.0</v>
      </c>
      <c r="I40" s="4">
        <v>2.0</v>
      </c>
      <c r="J40" s="4">
        <v>0.0</v>
      </c>
      <c r="K40" s="4">
        <v>0.0</v>
      </c>
      <c r="L40" s="4">
        <v>0.0</v>
      </c>
      <c r="M40" s="4"/>
      <c r="N40" s="4"/>
      <c r="O40" s="4"/>
      <c r="P40" s="4"/>
      <c r="Q40" s="4"/>
    </row>
    <row r="41" ht="15.75" customHeight="1">
      <c r="A41" s="4" t="s">
        <v>196</v>
      </c>
      <c r="B41" s="4">
        <v>6.0</v>
      </c>
      <c r="C41" s="4">
        <v>6.0</v>
      </c>
      <c r="D41" s="4">
        <v>6.0</v>
      </c>
      <c r="E41" s="4">
        <v>6.0</v>
      </c>
      <c r="F41" s="4">
        <v>6.0</v>
      </c>
      <c r="G41" s="4">
        <v>6.0</v>
      </c>
      <c r="H41" s="4">
        <v>6.0</v>
      </c>
      <c r="I41" s="4">
        <v>6.0</v>
      </c>
      <c r="J41" s="4">
        <v>6.0</v>
      </c>
      <c r="K41" s="4">
        <v>2.0</v>
      </c>
      <c r="L41" s="4">
        <v>0.0</v>
      </c>
      <c r="M41" s="4"/>
      <c r="N41" s="4"/>
      <c r="O41" s="4"/>
      <c r="P41" s="4"/>
      <c r="Q41" s="4"/>
    </row>
    <row r="42" ht="15.75" customHeight="1">
      <c r="A42" s="4" t="s">
        <v>197</v>
      </c>
      <c r="B42" s="4">
        <v>4.0</v>
      </c>
      <c r="C42" s="4">
        <v>4.0</v>
      </c>
      <c r="D42" s="4">
        <v>4.0</v>
      </c>
      <c r="E42" s="4">
        <v>4.0</v>
      </c>
      <c r="F42" s="4">
        <v>4.0</v>
      </c>
      <c r="G42" s="4">
        <v>4.0</v>
      </c>
      <c r="H42" s="4">
        <v>4.0</v>
      </c>
      <c r="I42" s="4">
        <v>4.0</v>
      </c>
      <c r="J42" s="4">
        <v>4.0</v>
      </c>
      <c r="K42" s="4">
        <v>2.0</v>
      </c>
      <c r="L42" s="4">
        <v>0.0</v>
      </c>
      <c r="M42" s="4"/>
      <c r="N42" s="4"/>
      <c r="O42" s="4"/>
      <c r="P42" s="4"/>
      <c r="Q42" s="4"/>
    </row>
    <row r="43" ht="15.75" customHeight="1">
      <c r="A43" s="4" t="s">
        <v>199</v>
      </c>
      <c r="B43" s="4">
        <v>3.0</v>
      </c>
      <c r="C43" s="4">
        <v>3.0</v>
      </c>
      <c r="D43" s="4">
        <v>3.0</v>
      </c>
      <c r="E43" s="4">
        <v>3.0</v>
      </c>
      <c r="F43" s="4">
        <v>3.0</v>
      </c>
      <c r="G43" s="4">
        <v>3.0</v>
      </c>
      <c r="H43" s="4">
        <v>3.0</v>
      </c>
      <c r="I43" s="4">
        <v>3.0</v>
      </c>
      <c r="J43" s="4">
        <v>3.0</v>
      </c>
      <c r="K43" s="4">
        <v>3.0</v>
      </c>
      <c r="L43" s="4">
        <v>0.0</v>
      </c>
      <c r="M43" s="4"/>
      <c r="N43" s="4"/>
      <c r="O43" s="4"/>
      <c r="P43" s="4"/>
      <c r="Q43" s="4"/>
    </row>
    <row r="44" ht="15.75" customHeight="1">
      <c r="A44" s="4" t="s">
        <v>201</v>
      </c>
      <c r="B44" s="4">
        <v>3.0</v>
      </c>
      <c r="C44" s="4">
        <v>3.0</v>
      </c>
      <c r="D44" s="4">
        <v>3.0</v>
      </c>
      <c r="E44" s="4">
        <v>3.0</v>
      </c>
      <c r="F44" s="4">
        <v>3.0</v>
      </c>
      <c r="G44" s="4">
        <v>3.0</v>
      </c>
      <c r="H44" s="4">
        <v>3.0</v>
      </c>
      <c r="I44" s="4">
        <v>3.0</v>
      </c>
      <c r="J44" s="4">
        <v>3.0</v>
      </c>
      <c r="K44" s="4">
        <v>3.0</v>
      </c>
      <c r="L44" s="4">
        <v>0.0</v>
      </c>
      <c r="M44" s="4"/>
      <c r="N44" s="4"/>
      <c r="O44" s="4"/>
      <c r="P44" s="4"/>
      <c r="Q44" s="4"/>
    </row>
    <row r="45" ht="15.75" customHeight="1">
      <c r="A45" s="4" t="s">
        <v>203</v>
      </c>
      <c r="B45" s="4">
        <v>3.0</v>
      </c>
      <c r="C45" s="4">
        <v>3.0</v>
      </c>
      <c r="D45" s="4">
        <v>3.0</v>
      </c>
      <c r="E45" s="4">
        <v>3.0</v>
      </c>
      <c r="F45" s="4">
        <v>3.0</v>
      </c>
      <c r="G45" s="4">
        <v>3.0</v>
      </c>
      <c r="H45" s="4">
        <v>3.0</v>
      </c>
      <c r="I45" s="4">
        <v>3.0</v>
      </c>
      <c r="J45" s="4">
        <v>3.0</v>
      </c>
      <c r="K45" s="4">
        <v>3.0</v>
      </c>
      <c r="L45" s="4">
        <v>0.0</v>
      </c>
      <c r="M45" s="4"/>
      <c r="N45" s="4"/>
      <c r="O45" s="4"/>
      <c r="P45" s="4"/>
      <c r="Q45" s="4"/>
    </row>
    <row r="46" ht="15.75" customHeight="1"/>
    <row r="47" ht="15.75" customHeight="1">
      <c r="A47" s="3" t="s">
        <v>152</v>
      </c>
    </row>
    <row r="48" ht="15.75" customHeight="1">
      <c r="A48" s="7" t="s">
        <v>153</v>
      </c>
      <c r="B48" s="7">
        <v>0.0</v>
      </c>
      <c r="C48" s="7">
        <v>1.0</v>
      </c>
      <c r="D48" s="7">
        <v>2.0</v>
      </c>
      <c r="E48" s="7">
        <v>3.0</v>
      </c>
      <c r="F48" s="7">
        <v>4.0</v>
      </c>
      <c r="G48" s="7">
        <v>5.0</v>
      </c>
      <c r="H48" s="7">
        <v>6.0</v>
      </c>
      <c r="I48" s="7">
        <v>7.0</v>
      </c>
      <c r="J48" s="7">
        <v>8.0</v>
      </c>
      <c r="K48" s="7">
        <v>9.0</v>
      </c>
      <c r="L48" s="7">
        <v>10.0</v>
      </c>
      <c r="M48" s="7">
        <v>11.0</v>
      </c>
      <c r="N48" s="7">
        <v>12.0</v>
      </c>
      <c r="O48" s="7">
        <v>13.0</v>
      </c>
      <c r="P48" s="7">
        <v>14.0</v>
      </c>
      <c r="Q48" s="7">
        <v>15.0</v>
      </c>
    </row>
    <row r="49" ht="15.75" customHeight="1">
      <c r="A49" s="7" t="s">
        <v>161</v>
      </c>
      <c r="B49" s="8">
        <f>SUM(B6:B45)</f>
        <v>134</v>
      </c>
      <c r="C49" s="8">
        <f>IF(1&gt;$C$3,NA(),IF(COUNT(C6:C45)=0,NA(),SUM(C6:C45)))</f>
        <v>121</v>
      </c>
      <c r="D49" s="8">
        <f>IF(2&gt;$C$3,NA(),IF(COUNT(D6:D45)=0,NA(),SUM(D6:D45)))</f>
        <v>107</v>
      </c>
      <c r="E49" s="8">
        <f>IF(3&gt;$C$3,NA(),IF(COUNT(E6:E45)=0,NA(),SUM(E6:E45)))</f>
        <v>94</v>
      </c>
      <c r="F49" s="8">
        <f>IF(4&gt;$C$3,NA(),IF(COUNT(F6:F45)=0,NA(),SUM(F6:F45)))</f>
        <v>80</v>
      </c>
      <c r="G49" s="8">
        <f>IF(5&gt;$C$3,NA(),IF(COUNT(G6:G45)=0,NA(),SUM(G6:G45)))</f>
        <v>68</v>
      </c>
      <c r="H49" s="8">
        <f>IF(6&gt;$C$3,NA(),IF(COUNT(H6:H45)=0,NA(),SUM(H6:H45)))</f>
        <v>54</v>
      </c>
      <c r="I49" s="8">
        <f>IF(7&gt;$C$3,NA(),IF(COUNT(I6:I45)=0,NA(),SUM(I6:I45)))</f>
        <v>40</v>
      </c>
      <c r="J49" s="8">
        <f>IF(8&gt;$C$3,NA(),IF(COUNT(J6:J45)=0,NA(),SUM(J6:J45)))</f>
        <v>27</v>
      </c>
      <c r="K49" s="8">
        <f>IF(9&gt;$C$3,NA(),IF(COUNT(K6:K45)=0,NA(),SUM(K6:K45)))</f>
        <v>15</v>
      </c>
      <c r="L49" s="8">
        <f>IF(10&gt;$C$3,NA(),IF(COUNT(L6:L45)=0,NA(),SUM(L6:L45)))</f>
        <v>0</v>
      </c>
      <c r="M49" s="8" t="str">
        <f>IF(11&gt;$C$3,NA(),IF(COUNT(M6:M45)=0,NA(),SUM(M6:M45)))</f>
        <v>#N/A</v>
      </c>
      <c r="N49" s="8" t="str">
        <f>IF(12&gt;$C$3,NA(),IF(COUNT(N6:N45)=0,NA(),SUM(N6:N45)))</f>
        <v>#N/A</v>
      </c>
      <c r="O49" s="8" t="str">
        <f>IF(13&gt;$C$3,NA(),IF(COUNT(O6:O45)=0,NA(),SUM(O6:O45)))</f>
        <v>#N/A</v>
      </c>
      <c r="P49" s="8" t="str">
        <f>IF(14&gt;$C$3,NA(),IF(COUNT(P6:P45)=0,NA(),SUM(P6:P45)))</f>
        <v>#N/A</v>
      </c>
      <c r="Q49" s="8" t="str">
        <f>IF(15&gt;$C$3,NA(),IF(COUNT(Q6:Q45)=0,NA(),SUM(Q6:Q45)))</f>
        <v>#N/A</v>
      </c>
    </row>
    <row r="50" ht="15.75" customHeight="1">
      <c r="A50" s="7" t="s">
        <v>209</v>
      </c>
      <c r="B50" s="9">
        <f>IF(0&gt;$C$3,NA(),$B$49*(1-0/$C$3))</f>
        <v>134</v>
      </c>
      <c r="C50" s="9">
        <f>IF(1&gt;$C$3,NA(),$B$49*(1-1/$C$3))</f>
        <v>120.6</v>
      </c>
      <c r="D50" s="9">
        <f>IF(2&gt;$C$3,NA(),$B$49*(1-2/$C$3))</f>
        <v>107.2</v>
      </c>
      <c r="E50" s="9">
        <f>IF(3&gt;$C$3,NA(),$B$49*(1-3/$C$3))</f>
        <v>93.8</v>
      </c>
      <c r="F50" s="9">
        <f>IF(4&gt;$C$3,NA(),$B$49*(1-4/$C$3))</f>
        <v>80.4</v>
      </c>
      <c r="G50" s="9">
        <f>IF(5&gt;$C$3,NA(),$B$49*(1-5/$C$3))</f>
        <v>67</v>
      </c>
      <c r="H50" s="9">
        <f>IF(6&gt;$C$3,NA(),$B$49*(1-6/$C$3))</f>
        <v>53.6</v>
      </c>
      <c r="I50" s="9">
        <f>IF(7&gt;$C$3,NA(),$B$49*(1-7/$C$3))</f>
        <v>40.2</v>
      </c>
      <c r="J50" s="9">
        <f>IF(8&gt;$C$3,NA(),$B$49*(1-8/$C$3))</f>
        <v>26.8</v>
      </c>
      <c r="K50" s="9">
        <f>IF(9&gt;$C$3,NA(),$B$49*(1-9/$C$3))</f>
        <v>13.4</v>
      </c>
      <c r="L50" s="9">
        <f>IF(10&gt;$C$3,NA(),$B$49*(1-10/$C$3))</f>
        <v>0</v>
      </c>
      <c r="M50" s="9" t="str">
        <f>IF(11&gt;$C$3,NA(),$B$49*(1-11/$C$3))</f>
        <v>#N/A</v>
      </c>
      <c r="N50" s="9" t="str">
        <f>IF(12&gt;$C$3,NA(),$B$49*(1-12/$C$3))</f>
        <v>#N/A</v>
      </c>
      <c r="O50" s="9" t="str">
        <f>IF(13&gt;$C$3,NA(),$B$49*(1-13/$C$3))</f>
        <v>#N/A</v>
      </c>
      <c r="P50" s="9" t="str">
        <f>IF(14&gt;$C$3,NA(),$B$49*(1-14/$C$3))</f>
        <v>#N/A</v>
      </c>
      <c r="Q50" s="9" t="str">
        <f>IF(15&gt;$C$3,NA(),$B$49*(1-15/$C$3))</f>
        <v>#N/A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6.0"/>
    <col customWidth="1" min="2" max="2" width="11.0"/>
    <col customWidth="1" min="3" max="17" width="7.43"/>
    <col customWidth="1" min="18" max="26" width="8.71"/>
  </cols>
  <sheetData>
    <row r="1">
      <c r="A1" s="1" t="s">
        <v>218</v>
      </c>
    </row>
    <row r="2">
      <c r="A2" s="2" t="s">
        <v>220</v>
      </c>
    </row>
    <row r="3">
      <c r="A3" s="3" t="s">
        <v>6</v>
      </c>
      <c r="C3" s="4">
        <v>9.0</v>
      </c>
    </row>
    <row r="4">
      <c r="D4" s="2" t="s">
        <v>7</v>
      </c>
    </row>
    <row r="5" ht="27.75" customHeight="1">
      <c r="A5" s="5" t="s">
        <v>8</v>
      </c>
      <c r="B5" s="5" t="s">
        <v>9</v>
      </c>
      <c r="C5" s="5" t="s">
        <v>222</v>
      </c>
      <c r="D5" s="5" t="s">
        <v>224</v>
      </c>
      <c r="E5" s="5" t="s">
        <v>226</v>
      </c>
      <c r="F5" s="5" t="s">
        <v>228</v>
      </c>
      <c r="G5" s="5" t="s">
        <v>230</v>
      </c>
      <c r="H5" s="5" t="s">
        <v>232</v>
      </c>
      <c r="I5" s="5" t="s">
        <v>234</v>
      </c>
      <c r="J5" s="5" t="s">
        <v>236</v>
      </c>
      <c r="K5" s="5" t="s">
        <v>238</v>
      </c>
      <c r="L5" s="5" t="s">
        <v>35</v>
      </c>
      <c r="M5" s="5" t="s">
        <v>38</v>
      </c>
      <c r="N5" s="5" t="s">
        <v>43</v>
      </c>
      <c r="O5" s="5" t="s">
        <v>45</v>
      </c>
      <c r="P5" s="5" t="s">
        <v>47</v>
      </c>
      <c r="Q5" s="5" t="s">
        <v>49</v>
      </c>
    </row>
    <row r="6">
      <c r="A6" s="4" t="s">
        <v>246</v>
      </c>
      <c r="B6" s="4">
        <v>6.0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>
      <c r="A7" s="4" t="s">
        <v>249</v>
      </c>
      <c r="B7" s="4">
        <v>3.0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>
      <c r="A8" s="4" t="s">
        <v>251</v>
      </c>
      <c r="B8" s="4">
        <v>4.0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>
      <c r="A9" s="4" t="s">
        <v>254</v>
      </c>
      <c r="B9" s="4">
        <v>4.0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>
      <c r="A10" s="4" t="s">
        <v>257</v>
      </c>
      <c r="B10" s="4">
        <v>4.0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>
      <c r="A11" s="4" t="s">
        <v>259</v>
      </c>
      <c r="B11" s="4">
        <v>3.0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>
      <c r="A12" s="4" t="s">
        <v>261</v>
      </c>
      <c r="B12" s="4">
        <v>2.0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>
      <c r="A13" s="4" t="s">
        <v>264</v>
      </c>
      <c r="B13" s="4">
        <v>6.0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>
      <c r="A14" s="4" t="s">
        <v>266</v>
      </c>
      <c r="B14" s="4">
        <v>5.0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>
      <c r="A15" s="4" t="s">
        <v>269</v>
      </c>
      <c r="B15" s="4">
        <v>4.0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>
      <c r="A16" s="4" t="s">
        <v>271</v>
      </c>
      <c r="B16" s="4">
        <v>4.0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>
      <c r="A17" s="4" t="s">
        <v>274</v>
      </c>
      <c r="B17" s="4">
        <v>4.0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>
      <c r="A18" s="4" t="s">
        <v>275</v>
      </c>
      <c r="B18" s="4">
        <v>3.0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>
      <c r="A19" s="4" t="s">
        <v>278</v>
      </c>
      <c r="B19" s="4">
        <v>6.0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>
      <c r="A20" s="4" t="s">
        <v>280</v>
      </c>
      <c r="B20" s="4">
        <v>4.0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ht="15.75" customHeight="1">
      <c r="A21" s="4" t="s">
        <v>282</v>
      </c>
      <c r="B21" s="4">
        <v>5.0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ht="15.75" customHeight="1">
      <c r="A22" s="4" t="s">
        <v>284</v>
      </c>
      <c r="B22" s="4">
        <v>3.0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ht="15.75" customHeight="1">
      <c r="A23" s="4" t="s">
        <v>286</v>
      </c>
      <c r="B23" s="4">
        <v>5.0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ht="15.75" customHeight="1">
      <c r="A24" s="4" t="s">
        <v>288</v>
      </c>
      <c r="B24" s="4">
        <v>3.0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ht="15.75" customHeight="1">
      <c r="A25" s="4" t="s">
        <v>291</v>
      </c>
      <c r="B25" s="4">
        <v>3.0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ht="15.75" customHeight="1">
      <c r="A26" s="4" t="s">
        <v>293</v>
      </c>
      <c r="B26" s="4">
        <v>3.0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ht="15.75" customHeight="1"/>
    <row r="28" ht="15.75" customHeight="1">
      <c r="A28" s="3" t="s">
        <v>152</v>
      </c>
    </row>
    <row r="29" ht="15.75" customHeight="1">
      <c r="A29" s="7" t="s">
        <v>153</v>
      </c>
      <c r="B29" s="7">
        <v>0.0</v>
      </c>
      <c r="C29" s="7">
        <v>1.0</v>
      </c>
      <c r="D29" s="7">
        <v>2.0</v>
      </c>
      <c r="E29" s="7">
        <v>3.0</v>
      </c>
      <c r="F29" s="7">
        <v>4.0</v>
      </c>
      <c r="G29" s="7">
        <v>5.0</v>
      </c>
      <c r="H29" s="7">
        <v>6.0</v>
      </c>
      <c r="I29" s="7">
        <v>7.0</v>
      </c>
      <c r="J29" s="7">
        <v>8.0</v>
      </c>
      <c r="K29" s="7">
        <v>9.0</v>
      </c>
      <c r="L29" s="7">
        <v>10.0</v>
      </c>
      <c r="M29" s="7">
        <v>11.0</v>
      </c>
      <c r="N29" s="7">
        <v>12.0</v>
      </c>
      <c r="O29" s="7">
        <v>13.0</v>
      </c>
      <c r="P29" s="7">
        <v>14.0</v>
      </c>
      <c r="Q29" s="7">
        <v>15.0</v>
      </c>
    </row>
    <row r="30" ht="15.75" customHeight="1">
      <c r="A30" s="7" t="s">
        <v>161</v>
      </c>
      <c r="B30" s="8">
        <f>SUM(B6:B26)</f>
        <v>84</v>
      </c>
      <c r="C30" s="8" t="str">
        <f>IF(1&gt;$C$3,NA(),IF(COUNT(C6:C26)=0,NA(),SUM(C6:C26)))</f>
        <v>#N/A</v>
      </c>
      <c r="D30" s="8" t="str">
        <f>IF(2&gt;$C$3,NA(),IF(COUNT(D6:D26)=0,NA(),SUM(D6:D26)))</f>
        <v>#N/A</v>
      </c>
      <c r="E30" s="8" t="str">
        <f>IF(3&gt;$C$3,NA(),IF(COUNT(E6:E26)=0,NA(),SUM(E6:E26)))</f>
        <v>#N/A</v>
      </c>
      <c r="F30" s="8" t="str">
        <f>IF(4&gt;$C$3,NA(),IF(COUNT(F6:F26)=0,NA(),SUM(F6:F26)))</f>
        <v>#N/A</v>
      </c>
      <c r="G30" s="8" t="str">
        <f>IF(5&gt;$C$3,NA(),IF(COUNT(G6:G26)=0,NA(),SUM(G6:G26)))</f>
        <v>#N/A</v>
      </c>
      <c r="H30" s="8" t="str">
        <f>IF(6&gt;$C$3,NA(),IF(COUNT(H6:H26)=0,NA(),SUM(H6:H26)))</f>
        <v>#N/A</v>
      </c>
      <c r="I30" s="8" t="str">
        <f>IF(7&gt;$C$3,NA(),IF(COUNT(I6:I26)=0,NA(),SUM(I6:I26)))</f>
        <v>#N/A</v>
      </c>
      <c r="J30" s="8" t="str">
        <f>IF(8&gt;$C$3,NA(),IF(COUNT(J6:J26)=0,NA(),SUM(J6:J26)))</f>
        <v>#N/A</v>
      </c>
      <c r="K30" s="8" t="str">
        <f>IF(9&gt;$C$3,NA(),IF(COUNT(K6:K26)=0,NA(),SUM(K6:K26)))</f>
        <v>#N/A</v>
      </c>
      <c r="L30" s="8" t="str">
        <f>IF(10&gt;$C$3,NA(),IF(COUNT(L6:L26)=0,NA(),SUM(L6:L26)))</f>
        <v>#N/A</v>
      </c>
      <c r="M30" s="8" t="str">
        <f>IF(11&gt;$C$3,NA(),IF(COUNT(M6:M26)=0,NA(),SUM(M6:M26)))</f>
        <v>#N/A</v>
      </c>
      <c r="N30" s="8" t="str">
        <f>IF(12&gt;$C$3,NA(),IF(COUNT(N6:N26)=0,NA(),SUM(N6:N26)))</f>
        <v>#N/A</v>
      </c>
      <c r="O30" s="8" t="str">
        <f>IF(13&gt;$C$3,NA(),IF(COUNT(O6:O26)=0,NA(),SUM(O6:O26)))</f>
        <v>#N/A</v>
      </c>
      <c r="P30" s="8" t="str">
        <f>IF(14&gt;$C$3,NA(),IF(COUNT(P6:P26)=0,NA(),SUM(P6:P26)))</f>
        <v>#N/A</v>
      </c>
      <c r="Q30" s="8" t="str">
        <f>IF(15&gt;$C$3,NA(),IF(COUNT(Q6:Q26)=0,NA(),SUM(Q6:Q26)))</f>
        <v>#N/A</v>
      </c>
    </row>
    <row r="31" ht="15.75" customHeight="1">
      <c r="A31" s="7" t="s">
        <v>209</v>
      </c>
      <c r="B31" s="9">
        <f>IF(0&gt;$C$3,NA(),$B$30*(1-0/$C$3))</f>
        <v>84</v>
      </c>
      <c r="C31" s="9">
        <f>IF(1&gt;$C$3,NA(),$B$30*(1-1/$C$3))</f>
        <v>74.66666667</v>
      </c>
      <c r="D31" s="9">
        <f>IF(2&gt;$C$3,NA(),$B$30*(1-2/$C$3))</f>
        <v>65.33333333</v>
      </c>
      <c r="E31" s="9">
        <f>IF(3&gt;$C$3,NA(),$B$30*(1-3/$C$3))</f>
        <v>56</v>
      </c>
      <c r="F31" s="9">
        <f>IF(4&gt;$C$3,NA(),$B$30*(1-4/$C$3))</f>
        <v>46.66666667</v>
      </c>
      <c r="G31" s="9">
        <f>IF(5&gt;$C$3,NA(),$B$30*(1-5/$C$3))</f>
        <v>37.33333333</v>
      </c>
      <c r="H31" s="9">
        <f>IF(6&gt;$C$3,NA(),$B$30*(1-6/$C$3))</f>
        <v>28</v>
      </c>
      <c r="I31" s="9">
        <f>IF(7&gt;$C$3,NA(),$B$30*(1-7/$C$3))</f>
        <v>18.66666667</v>
      </c>
      <c r="J31" s="9">
        <f>IF(8&gt;$C$3,NA(),$B$30*(1-8/$C$3))</f>
        <v>9.333333333</v>
      </c>
      <c r="K31" s="9">
        <f>IF(9&gt;$C$3,NA(),$B$30*(1-9/$C$3))</f>
        <v>0</v>
      </c>
      <c r="L31" s="9" t="str">
        <f>IF(10&gt;$C$3,NA(),$B$30*(1-10/$C$3))</f>
        <v>#N/A</v>
      </c>
      <c r="M31" s="9" t="str">
        <f>IF(11&gt;$C$3,NA(),$B$30*(1-11/$C$3))</f>
        <v>#N/A</v>
      </c>
      <c r="N31" s="9" t="str">
        <f>IF(12&gt;$C$3,NA(),$B$30*(1-12/$C$3))</f>
        <v>#N/A</v>
      </c>
      <c r="O31" s="9" t="str">
        <f>IF(13&gt;$C$3,NA(),$B$30*(1-13/$C$3))</f>
        <v>#N/A</v>
      </c>
      <c r="P31" s="9" t="str">
        <f>IF(14&gt;$C$3,NA(),$B$30*(1-14/$C$3))</f>
        <v>#N/A</v>
      </c>
      <c r="Q31" s="9" t="str">
        <f>IF(15&gt;$C$3,NA(),$B$30*(1-15/$C$3))</f>
        <v>#N/A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6.0"/>
    <col customWidth="1" min="2" max="2" width="11.0"/>
    <col customWidth="1" min="3" max="17" width="7.43"/>
    <col customWidth="1" min="18" max="26" width="8.71"/>
  </cols>
  <sheetData>
    <row r="1">
      <c r="A1" s="1" t="s">
        <v>219</v>
      </c>
    </row>
    <row r="2">
      <c r="A2" s="2" t="s">
        <v>221</v>
      </c>
    </row>
    <row r="3">
      <c r="A3" s="3" t="s">
        <v>6</v>
      </c>
      <c r="C3" s="4">
        <v>15.0</v>
      </c>
    </row>
    <row r="4">
      <c r="D4" s="2" t="s">
        <v>7</v>
      </c>
    </row>
    <row r="5" ht="27.75" customHeight="1">
      <c r="A5" s="5" t="s">
        <v>8</v>
      </c>
      <c r="B5" s="5" t="s">
        <v>9</v>
      </c>
      <c r="C5" s="5" t="s">
        <v>223</v>
      </c>
      <c r="D5" s="5" t="s">
        <v>225</v>
      </c>
      <c r="E5" s="5" t="s">
        <v>227</v>
      </c>
      <c r="F5" s="5" t="s">
        <v>229</v>
      </c>
      <c r="G5" s="5" t="s">
        <v>231</v>
      </c>
      <c r="H5" s="5" t="s">
        <v>233</v>
      </c>
      <c r="I5" s="5" t="s">
        <v>235</v>
      </c>
      <c r="J5" s="5" t="s">
        <v>237</v>
      </c>
      <c r="K5" s="5" t="s">
        <v>239</v>
      </c>
      <c r="L5" s="5" t="s">
        <v>240</v>
      </c>
      <c r="M5" s="5" t="s">
        <v>241</v>
      </c>
      <c r="N5" s="5" t="s">
        <v>242</v>
      </c>
      <c r="O5" s="5" t="s">
        <v>243</v>
      </c>
      <c r="P5" s="5" t="s">
        <v>244</v>
      </c>
      <c r="Q5" s="5" t="s">
        <v>245</v>
      </c>
    </row>
    <row r="6">
      <c r="A6" s="4" t="s">
        <v>247</v>
      </c>
      <c r="B6" s="4">
        <v>4.0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>
      <c r="A7" s="4" t="s">
        <v>248</v>
      </c>
      <c r="B7" s="4">
        <v>3.0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>
      <c r="A8" s="4" t="s">
        <v>250</v>
      </c>
      <c r="B8" s="4">
        <v>3.0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>
      <c r="A9" s="4" t="s">
        <v>252</v>
      </c>
      <c r="B9" s="4">
        <v>4.0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>
      <c r="A10" s="4" t="s">
        <v>253</v>
      </c>
      <c r="B10" s="4">
        <v>5.0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>
      <c r="A11" s="4" t="s">
        <v>255</v>
      </c>
      <c r="B11" s="4">
        <v>4.0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>
      <c r="A12" s="4" t="s">
        <v>256</v>
      </c>
      <c r="B12" s="4">
        <v>6.0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>
      <c r="A13" s="4" t="s">
        <v>258</v>
      </c>
      <c r="B13" s="4">
        <v>2.0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>
      <c r="A14" s="4" t="s">
        <v>260</v>
      </c>
      <c r="B14" s="4">
        <v>8.0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>
      <c r="A15" s="4" t="s">
        <v>262</v>
      </c>
      <c r="B15" s="4">
        <v>6.0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>
      <c r="A16" s="4" t="s">
        <v>263</v>
      </c>
      <c r="B16" s="4">
        <v>3.0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>
      <c r="A17" s="4" t="s">
        <v>265</v>
      </c>
      <c r="B17" s="4">
        <v>8.0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>
      <c r="A18" s="4" t="s">
        <v>267</v>
      </c>
      <c r="B18" s="4">
        <v>6.0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>
      <c r="A19" s="4" t="s">
        <v>268</v>
      </c>
      <c r="B19" s="4">
        <v>6.0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>
      <c r="A20" s="4" t="s">
        <v>270</v>
      </c>
      <c r="B20" s="4">
        <v>6.0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ht="15.75" customHeight="1">
      <c r="A21" s="4" t="s">
        <v>272</v>
      </c>
      <c r="B21" s="4">
        <v>6.0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ht="15.75" customHeight="1">
      <c r="A22" s="4" t="s">
        <v>273</v>
      </c>
      <c r="B22" s="4">
        <v>6.0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ht="15.75" customHeight="1">
      <c r="A23" s="4" t="s">
        <v>276</v>
      </c>
      <c r="B23" s="4">
        <v>3.0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ht="15.75" customHeight="1">
      <c r="A24" s="4" t="s">
        <v>277</v>
      </c>
      <c r="B24" s="4">
        <v>3.0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ht="15.75" customHeight="1">
      <c r="A25" s="4" t="s">
        <v>279</v>
      </c>
      <c r="B25" s="4">
        <v>3.0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ht="15.75" customHeight="1">
      <c r="A26" s="4" t="s">
        <v>281</v>
      </c>
      <c r="B26" s="4">
        <v>3.0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ht="15.75" customHeight="1">
      <c r="A27" s="4" t="s">
        <v>283</v>
      </c>
      <c r="B27" s="4">
        <v>3.0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ht="15.75" customHeight="1">
      <c r="A28" s="4" t="s">
        <v>285</v>
      </c>
      <c r="B28" s="4">
        <v>3.0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ht="15.75" customHeight="1">
      <c r="A29" s="4" t="s">
        <v>287</v>
      </c>
      <c r="B29" s="4">
        <v>8.0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ht="15.75" customHeight="1">
      <c r="A30" s="4" t="s">
        <v>289</v>
      </c>
      <c r="B30" s="4">
        <v>6.0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ht="15.75" customHeight="1">
      <c r="A31" s="4" t="s">
        <v>290</v>
      </c>
      <c r="B31" s="4">
        <v>6.0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ht="15.75" customHeight="1">
      <c r="A32" s="4" t="s">
        <v>292</v>
      </c>
      <c r="B32" s="4">
        <v>6.0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ht="15.75" customHeight="1">
      <c r="A33" s="4" t="s">
        <v>294</v>
      </c>
      <c r="B33" s="4">
        <v>4.0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ht="15.75" customHeight="1">
      <c r="A34" s="4" t="s">
        <v>295</v>
      </c>
      <c r="B34" s="4">
        <v>3.0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ht="15.75" customHeight="1">
      <c r="A35" s="4" t="s">
        <v>296</v>
      </c>
      <c r="B35" s="4">
        <v>3.0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ht="15.75" customHeight="1">
      <c r="A36" s="4" t="s">
        <v>297</v>
      </c>
      <c r="B36" s="4">
        <v>3.0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ht="15.75" customHeight="1"/>
    <row r="38" ht="15.75" customHeight="1">
      <c r="A38" s="3" t="s">
        <v>152</v>
      </c>
    </row>
    <row r="39" ht="15.75" customHeight="1">
      <c r="A39" s="7" t="s">
        <v>153</v>
      </c>
      <c r="B39" s="7">
        <v>0.0</v>
      </c>
      <c r="C39" s="7">
        <v>1.0</v>
      </c>
      <c r="D39" s="7">
        <v>2.0</v>
      </c>
      <c r="E39" s="7">
        <v>3.0</v>
      </c>
      <c r="F39" s="7">
        <v>4.0</v>
      </c>
      <c r="G39" s="7">
        <v>5.0</v>
      </c>
      <c r="H39" s="7">
        <v>6.0</v>
      </c>
      <c r="I39" s="7">
        <v>7.0</v>
      </c>
      <c r="J39" s="7">
        <v>8.0</v>
      </c>
      <c r="K39" s="7">
        <v>9.0</v>
      </c>
      <c r="L39" s="7">
        <v>10.0</v>
      </c>
      <c r="M39" s="7">
        <v>11.0</v>
      </c>
      <c r="N39" s="7">
        <v>12.0</v>
      </c>
      <c r="O39" s="7">
        <v>13.0</v>
      </c>
      <c r="P39" s="7">
        <v>14.0</v>
      </c>
      <c r="Q39" s="7">
        <v>15.0</v>
      </c>
    </row>
    <row r="40" ht="15.75" customHeight="1">
      <c r="A40" s="7" t="s">
        <v>161</v>
      </c>
      <c r="B40" s="8">
        <f>SUM(B6:B36)</f>
        <v>143</v>
      </c>
      <c r="C40" s="8" t="str">
        <f>IF(1&gt;$C$3,NA(),IF(COUNT(C6:C36)=0,NA(),SUM(C6:C36)))</f>
        <v>#N/A</v>
      </c>
      <c r="D40" s="8" t="str">
        <f>IF(2&gt;$C$3,NA(),IF(COUNT(D6:D36)=0,NA(),SUM(D6:D36)))</f>
        <v>#N/A</v>
      </c>
      <c r="E40" s="8" t="str">
        <f>IF(3&gt;$C$3,NA(),IF(COUNT(E6:E36)=0,NA(),SUM(E6:E36)))</f>
        <v>#N/A</v>
      </c>
      <c r="F40" s="8" t="str">
        <f>IF(4&gt;$C$3,NA(),IF(COUNT(F6:F36)=0,NA(),SUM(F6:F36)))</f>
        <v>#N/A</v>
      </c>
      <c r="G40" s="8" t="str">
        <f>IF(5&gt;$C$3,NA(),IF(COUNT(G6:G36)=0,NA(),SUM(G6:G36)))</f>
        <v>#N/A</v>
      </c>
      <c r="H40" s="8" t="str">
        <f>IF(6&gt;$C$3,NA(),IF(COUNT(H6:H36)=0,NA(),SUM(H6:H36)))</f>
        <v>#N/A</v>
      </c>
      <c r="I40" s="8" t="str">
        <f>IF(7&gt;$C$3,NA(),IF(COUNT(I6:I36)=0,NA(),SUM(I6:I36)))</f>
        <v>#N/A</v>
      </c>
      <c r="J40" s="8" t="str">
        <f>IF(8&gt;$C$3,NA(),IF(COUNT(J6:J36)=0,NA(),SUM(J6:J36)))</f>
        <v>#N/A</v>
      </c>
      <c r="K40" s="8" t="str">
        <f>IF(9&gt;$C$3,NA(),IF(COUNT(K6:K36)=0,NA(),SUM(K6:K36)))</f>
        <v>#N/A</v>
      </c>
      <c r="L40" s="8" t="str">
        <f>IF(10&gt;$C$3,NA(),IF(COUNT(L6:L36)=0,NA(),SUM(L6:L36)))</f>
        <v>#N/A</v>
      </c>
      <c r="M40" s="8" t="str">
        <f>IF(11&gt;$C$3,NA(),IF(COUNT(M6:M36)=0,NA(),SUM(M6:M36)))</f>
        <v>#N/A</v>
      </c>
      <c r="N40" s="8" t="str">
        <f>IF(12&gt;$C$3,NA(),IF(COUNT(N6:N36)=0,NA(),SUM(N6:N36)))</f>
        <v>#N/A</v>
      </c>
      <c r="O40" s="8" t="str">
        <f>IF(13&gt;$C$3,NA(),IF(COUNT(O6:O36)=0,NA(),SUM(O6:O36)))</f>
        <v>#N/A</v>
      </c>
      <c r="P40" s="8" t="str">
        <f>IF(14&gt;$C$3,NA(),IF(COUNT(P6:P36)=0,NA(),SUM(P6:P36)))</f>
        <v>#N/A</v>
      </c>
      <c r="Q40" s="8" t="str">
        <f>IF(15&gt;$C$3,NA(),IF(COUNT(Q6:Q36)=0,NA(),SUM(Q6:Q36)))</f>
        <v>#N/A</v>
      </c>
    </row>
    <row r="41" ht="15.75" customHeight="1">
      <c r="A41" s="7" t="s">
        <v>209</v>
      </c>
      <c r="B41" s="9">
        <f>IF(0&gt;$C$3,NA(),$B$40*(1-0/$C$3))</f>
        <v>143</v>
      </c>
      <c r="C41" s="9">
        <f>IF(1&gt;$C$3,NA(),$B$40*(1-1/$C$3))</f>
        <v>133.4666667</v>
      </c>
      <c r="D41" s="9">
        <f>IF(2&gt;$C$3,NA(),$B$40*(1-2/$C$3))</f>
        <v>123.9333333</v>
      </c>
      <c r="E41" s="9">
        <f>IF(3&gt;$C$3,NA(),$B$40*(1-3/$C$3))</f>
        <v>114.4</v>
      </c>
      <c r="F41" s="9">
        <f>IF(4&gt;$C$3,NA(),$B$40*(1-4/$C$3))</f>
        <v>104.8666667</v>
      </c>
      <c r="G41" s="9">
        <f>IF(5&gt;$C$3,NA(),$B$40*(1-5/$C$3))</f>
        <v>95.33333333</v>
      </c>
      <c r="H41" s="9">
        <f>IF(6&gt;$C$3,NA(),$B$40*(1-6/$C$3))</f>
        <v>85.8</v>
      </c>
      <c r="I41" s="9">
        <f>IF(7&gt;$C$3,NA(),$B$40*(1-7/$C$3))</f>
        <v>76.26666667</v>
      </c>
      <c r="J41" s="9">
        <f>IF(8&gt;$C$3,NA(),$B$40*(1-8/$C$3))</f>
        <v>66.73333333</v>
      </c>
      <c r="K41" s="9">
        <f>IF(9&gt;$C$3,NA(),$B$40*(1-9/$C$3))</f>
        <v>57.2</v>
      </c>
      <c r="L41" s="9">
        <f>IF(10&gt;$C$3,NA(),$B$40*(1-10/$C$3))</f>
        <v>47.66666667</v>
      </c>
      <c r="M41" s="9">
        <f>IF(11&gt;$C$3,NA(),$B$40*(1-11/$C$3))</f>
        <v>38.13333333</v>
      </c>
      <c r="N41" s="9">
        <f>IF(12&gt;$C$3,NA(),$B$40*(1-12/$C$3))</f>
        <v>28.6</v>
      </c>
      <c r="O41" s="9">
        <f>IF(13&gt;$C$3,NA(),$B$40*(1-13/$C$3))</f>
        <v>19.06666667</v>
      </c>
      <c r="P41" s="9">
        <f>IF(14&gt;$C$3,NA(),$B$40*(1-14/$C$3))</f>
        <v>9.533333333</v>
      </c>
      <c r="Q41" s="9">
        <f>IF(15&gt;$C$3,NA(),$B$40*(1-15/$C$3))</f>
        <v>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" t="s">
        <v>210</v>
      </c>
    </row>
    <row r="3">
      <c r="A3" s="10" t="s">
        <v>211</v>
      </c>
    </row>
    <row r="4">
      <c r="A4" s="10" t="s">
        <v>212</v>
      </c>
    </row>
    <row r="5">
      <c r="A5" s="10" t="s">
        <v>213</v>
      </c>
    </row>
    <row r="6">
      <c r="A6" s="10" t="s">
        <v>214</v>
      </c>
    </row>
    <row r="7">
      <c r="A7" s="10" t="s">
        <v>215</v>
      </c>
    </row>
    <row r="8">
      <c r="A8" s="10" t="s">
        <v>216</v>
      </c>
    </row>
    <row r="9">
      <c r="A9" s="10" t="s">
        <v>217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2026-10-01T19:20:25Z</dcterms:created>
  <dc:creator>openpyxl</dc:creator>
</cp:coreProperties>
</file>